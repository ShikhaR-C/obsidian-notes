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er Data" sheetId="1" state="visible" r:id="rId1"/>
    <sheet name="Summary" sheetId="2" state="visible" r:id="rId2"/>
    <sheet name="Notes" sheetId="3" state="visible" r:id="rId3"/>
  </sheets>
  <definedNames>
    <definedName name="_xlnm._FilterDatabase" localSheetId="0" hidden="1">'Dealer Data'!$A$2:$S$17</definedName>
  </definedNames>
  <calcPr calcId="124519" fullCalcOnLoad="1"/>
</workbook>
</file>

<file path=xl/styles.xml><?xml version="1.0" encoding="utf-8"?>
<styleSheet xmlns="http://schemas.openxmlformats.org/spreadsheetml/2006/main">
  <numFmts count="4">
    <numFmt numFmtId="164" formatCode="[&gt;=10000000]&quot;₹&quot;##\,##\,##\,##0;[&gt;=100000]&quot;₹&quot;##\,##\,##0;&quot;₹&quot;##\,##0"/>
    <numFmt numFmtId="165" formatCode="0.0%"/>
    <numFmt numFmtId="166" formatCode="[&gt;=10000000]&quot;₹&quot;##\,##\,##\,##0.00;[&gt;=100000]&quot;₹&quot;##\,##\,##0.00;&quot;₹&quot;##\,##0.00"/>
    <numFmt numFmtId="167" formatCode="#,##0.0&quot;×&quot;"/>
  </numFmts>
  <fonts count="12">
    <font>
      <name val="Calibri"/>
      <family val="2"/>
      <color theme="1"/>
      <sz val="11"/>
      <scheme val="minor"/>
    </font>
    <font>
      <b val="1"/>
      <color rgb="00FFFFFF"/>
      <sz val="10"/>
    </font>
    <font>
      <b val="1"/>
      <color rgb="00FFFFFF"/>
      <sz val="9"/>
    </font>
    <font>
      <sz val="10"/>
    </font>
    <font>
      <i val="1"/>
      <sz val="10"/>
    </font>
    <font>
      <b val="1"/>
      <sz val="10"/>
    </font>
    <font>
      <b val="1"/>
      <color rgb="001F3864"/>
      <sz val="14"/>
    </font>
    <font>
      <i val="1"/>
      <color rgb="00808080"/>
      <sz val="9"/>
    </font>
    <font>
      <b val="1"/>
      <color rgb="001F3864"/>
      <sz val="11"/>
    </font>
    <font>
      <i val="1"/>
      <color rgb="001F3864"/>
      <sz val="9"/>
    </font>
    <font>
      <b val="1"/>
      <color rgb="001F3864"/>
      <sz val="12"/>
    </font>
    <font>
      <b val="1"/>
      <color rgb="001F3864"/>
      <sz val="10"/>
    </font>
  </fonts>
  <fills count="8">
    <fill>
      <patternFill/>
    </fill>
    <fill>
      <patternFill patternType="gray125"/>
    </fill>
    <fill>
      <patternFill patternType="solid">
        <fgColor rgb="001F3864"/>
      </patternFill>
    </fill>
    <fill>
      <patternFill patternType="solid">
        <fgColor rgb="002E5496"/>
      </patternFill>
    </fill>
    <fill>
      <patternFill patternType="solid">
        <fgColor rgb="00F2F2F2"/>
      </patternFill>
    </fill>
    <fill>
      <patternFill patternType="solid">
        <fgColor rgb="00D9E2F3"/>
      </patternFill>
    </fill>
    <fill>
      <patternFill patternType="solid">
        <fgColor rgb="00FFF2CC"/>
      </patternFill>
    </fill>
    <fill>
      <patternFill patternType="solid">
        <fgColor rgb="00FCE4D6"/>
      </patternFill>
    </fill>
  </fills>
  <borders count="10">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style="thin">
        <color rgb="00BFBFBF"/>
      </right>
      <top style="medium">
        <color rgb="001F3864"/>
      </top>
      <bottom style="medium">
        <color rgb="001F3864"/>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4" pivotButton="0" quotePrefix="0" xfId="0"/>
    <xf numFmtId="0" fontId="2" fillId="3" borderId="1" applyAlignment="1" pivotButton="0" quotePrefix="0" xfId="0">
      <alignment horizontal="center" vertical="center" wrapText="1"/>
    </xf>
    <xf numFmtId="0" fontId="3" fillId="0" borderId="1" pivotButton="0" quotePrefix="0" xfId="0"/>
    <xf numFmtId="4" fontId="3" fillId="0" borderId="1" pivotButton="0" quotePrefix="0" xfId="0"/>
    <xf numFmtId="4" fontId="4" fillId="4" borderId="1" pivotButton="0" quotePrefix="0" xfId="0"/>
    <xf numFmtId="3" fontId="3" fillId="0" borderId="1" pivotButton="0" quotePrefix="0" xfId="0"/>
    <xf numFmtId="164" fontId="3" fillId="0" borderId="1" pivotButton="0" quotePrefix="0" xfId="0"/>
    <xf numFmtId="164" fontId="4" fillId="4" borderId="1" pivotButton="0" quotePrefix="0" xfId="0"/>
    <xf numFmtId="0" fontId="5" fillId="5" borderId="9" pivotButton="0" quotePrefix="0" xfId="0"/>
    <xf numFmtId="0" fontId="5" fillId="5" borderId="9" applyAlignment="1" pivotButton="0" quotePrefix="0" xfId="0">
      <alignment horizontal="center"/>
    </xf>
    <xf numFmtId="4" fontId="5" fillId="5" borderId="9" pivotButton="0" quotePrefix="0" xfId="0"/>
    <xf numFmtId="3" fontId="5" fillId="5" borderId="9" pivotButton="0" quotePrefix="0" xfId="0"/>
    <xf numFmtId="164" fontId="5" fillId="5" borderId="9" pivotButton="0" quotePrefix="0" xfId="0"/>
    <xf numFmtId="0" fontId="6" fillId="0" borderId="0" pivotButton="0" quotePrefix="0" xfId="0"/>
    <xf numFmtId="0" fontId="7" fillId="0" borderId="0" pivotButton="0" quotePrefix="0" xfId="0"/>
    <xf numFmtId="0" fontId="1" fillId="2" borderId="0" applyAlignment="1" pivotButton="0" quotePrefix="0" xfId="0">
      <alignment vertical="center" indent="1"/>
    </xf>
    <xf numFmtId="0" fontId="0" fillId="2" borderId="0" pivotButton="0" quotePrefix="0" xfId="0"/>
    <xf numFmtId="0" fontId="3" fillId="0" borderId="0" pivotButton="0" quotePrefix="0" xfId="0"/>
    <xf numFmtId="165" fontId="5" fillId="6" borderId="1" applyAlignment="1" pivotButton="0" quotePrefix="0" xfId="0">
      <alignment horizontal="right"/>
    </xf>
    <xf numFmtId="164" fontId="5" fillId="6" borderId="1" applyAlignment="1" pivotButton="0" quotePrefix="0" xfId="0">
      <alignment horizontal="right"/>
    </xf>
    <xf numFmtId="166" fontId="5" fillId="6" borderId="1" applyAlignment="1" pivotButton="0" quotePrefix="0" xfId="0">
      <alignment horizontal="right"/>
    </xf>
    <xf numFmtId="166" fontId="5" fillId="7" borderId="1" applyAlignment="1" pivotButton="0" quotePrefix="0" xfId="0">
      <alignment horizontal="right"/>
    </xf>
    <xf numFmtId="3" fontId="3" fillId="4" borderId="1" applyAlignment="1" pivotButton="0" quotePrefix="0" xfId="0">
      <alignment horizontal="right"/>
    </xf>
    <xf numFmtId="4" fontId="3" fillId="4" borderId="1" applyAlignment="1" pivotButton="0" quotePrefix="0" xfId="0">
      <alignment horizontal="right"/>
    </xf>
    <xf numFmtId="3" fontId="8" fillId="5" borderId="1" applyAlignment="1" pivotButton="0" quotePrefix="0" xfId="0">
      <alignment horizontal="right"/>
    </xf>
    <xf numFmtId="164" fontId="8" fillId="5" borderId="1" applyAlignment="1" pivotButton="0" quotePrefix="0" xfId="0">
      <alignment horizontal="right"/>
    </xf>
    <xf numFmtId="164" fontId="3" fillId="4" borderId="1" applyAlignment="1" pivotButton="0" quotePrefix="0" xfId="0">
      <alignment horizontal="right"/>
    </xf>
    <xf numFmtId="167" fontId="8" fillId="5" borderId="1" applyAlignment="1" pivotButton="0" quotePrefix="0" xfId="0">
      <alignment horizontal="right"/>
    </xf>
    <xf numFmtId="165" fontId="8" fillId="5" borderId="1" applyAlignment="1" pivotButton="0" quotePrefix="0" xfId="0">
      <alignment horizontal="right"/>
    </xf>
    <xf numFmtId="0" fontId="9" fillId="0" borderId="0" pivotButton="0" quotePrefix="0" xfId="0"/>
    <xf numFmtId="0" fontId="1" fillId="2" borderId="1" pivotButton="0" quotePrefix="0" xfId="0"/>
    <xf numFmtId="0" fontId="5" fillId="0" borderId="1" applyAlignment="1" pivotButton="0" quotePrefix="0" xfId="0">
      <alignment vertical="top" wrapText="1"/>
    </xf>
    <xf numFmtId="0" fontId="3" fillId="0" borderId="1" applyAlignment="1" pivotButton="0" quotePrefix="0" xfId="0">
      <alignment vertical="top" wrapText="1"/>
    </xf>
    <xf numFmtId="0" fontId="10" fillId="0" borderId="0" pivotButton="0" quotePrefix="0" xfId="0"/>
    <xf numFmtId="0" fontId="11"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3" customWidth="1" min="13" max="13"/>
    <col width="13" customWidth="1" min="14" max="14"/>
    <col width="13" customWidth="1" min="15" max="15"/>
    <col width="13" customWidth="1" min="16" max="16"/>
    <col width="14" customWidth="1" min="17" max="17"/>
    <col width="14" customWidth="1" min="18" max="18"/>
    <col width="14" customWidth="1" min="19" max="19"/>
  </cols>
  <sheetData>
    <row r="1" ht="34" customHeight="1">
      <c r="A1" s="1" t="inlineStr">
        <is>
          <t>Dealer Name</t>
        </is>
      </c>
      <c r="B1" s="1" t="inlineStr">
        <is>
          <t>Oil Company</t>
        </is>
      </c>
      <c r="C1" s="1" t="inlineStr">
        <is>
          <t>Trading Area</t>
        </is>
      </c>
      <c r="D1" s="1" t="inlineStr">
        <is>
          <t>MS Sale — Petrol (KL)</t>
        </is>
      </c>
      <c r="E1" s="2" t="n"/>
      <c r="F1" s="2" t="n"/>
      <c r="G1" s="3" t="n"/>
      <c r="H1" s="1" t="inlineStr">
        <is>
          <t>HSD Sale — Diesel (KL)</t>
        </is>
      </c>
      <c r="I1" s="2" t="n"/>
      <c r="J1" s="2" t="n"/>
      <c r="K1" s="3" t="n"/>
      <c r="L1" s="1" t="inlineStr">
        <is>
          <t>Total MS+HSD (KL)
Avg / month</t>
        </is>
      </c>
      <c r="M1" s="1" t="inlineStr">
        <is>
          <t>Loyalty / Fleet Card
monthly avg</t>
        </is>
      </c>
      <c r="N1" s="3" t="n"/>
      <c r="O1" s="1" t="inlineStr">
        <is>
          <t>UPI
monthly avg</t>
        </is>
      </c>
      <c r="P1" s="3" t="n"/>
      <c r="Q1" s="1" t="inlineStr">
        <is>
          <t>Net Banking Transfers
monthly avg</t>
        </is>
      </c>
      <c r="R1" s="2" t="n"/>
      <c r="S1" s="3" t="n"/>
    </row>
    <row r="2" ht="18" customHeight="1">
      <c r="A2" s="4" t="n"/>
      <c r="B2" s="4" t="n"/>
      <c r="C2" s="4" t="n"/>
      <c r="D2" s="5" t="inlineStr">
        <is>
          <t>Month 1</t>
        </is>
      </c>
      <c r="E2" s="5" t="inlineStr">
        <is>
          <t>Month 2</t>
        </is>
      </c>
      <c r="F2" s="5" t="inlineStr">
        <is>
          <t>Month 3</t>
        </is>
      </c>
      <c r="G2" s="5" t="inlineStr">
        <is>
          <t>Average</t>
        </is>
      </c>
      <c r="H2" s="5" t="inlineStr">
        <is>
          <t>Month 1</t>
        </is>
      </c>
      <c r="I2" s="5" t="inlineStr">
        <is>
          <t>Month 2</t>
        </is>
      </c>
      <c r="J2" s="5" t="inlineStr">
        <is>
          <t>Month 3</t>
        </is>
      </c>
      <c r="K2" s="5" t="inlineStr">
        <is>
          <t>Average</t>
        </is>
      </c>
      <c r="L2" s="4" t="n"/>
      <c r="M2" s="5" t="inlineStr">
        <is>
          <t>Txn Count</t>
        </is>
      </c>
      <c r="N2" s="5" t="inlineStr">
        <is>
          <t>Txn Value (₹)</t>
        </is>
      </c>
      <c r="O2" s="5" t="inlineStr">
        <is>
          <t>Txn Count</t>
        </is>
      </c>
      <c r="P2" s="5" t="inlineStr">
        <is>
          <t>Txn Value (₹)</t>
        </is>
      </c>
      <c r="Q2" s="5" t="inlineStr">
        <is>
          <t>Txn Count</t>
        </is>
      </c>
      <c r="R2" s="5" t="inlineStr">
        <is>
          <t>Txn Value (₹)</t>
        </is>
      </c>
      <c r="S2" s="5" t="inlineStr">
        <is>
          <t>Avg Ticket (₹)</t>
        </is>
      </c>
    </row>
    <row r="3" ht="17" customHeight="1">
      <c r="A3" s="6" t="n"/>
      <c r="B3" s="6" t="n"/>
      <c r="C3" s="6" t="n"/>
      <c r="D3" s="7" t="n"/>
      <c r="E3" s="7" t="n"/>
      <c r="F3" s="7" t="n"/>
      <c r="G3" s="8">
        <f>IFERROR(AVERAGE(D3:F3),"")</f>
        <v/>
      </c>
      <c r="H3" s="7" t="n"/>
      <c r="I3" s="7" t="n"/>
      <c r="J3" s="7" t="n"/>
      <c r="K3" s="8">
        <f>IFERROR(AVERAGE(H3:J3),"")</f>
        <v/>
      </c>
      <c r="L3" s="8">
        <f>IFERROR(G3+K3,"")</f>
        <v/>
      </c>
      <c r="M3" s="9" t="n"/>
      <c r="N3" s="10" t="n"/>
      <c r="O3" s="9" t="n"/>
      <c r="P3" s="10" t="n"/>
      <c r="Q3" s="9" t="n"/>
      <c r="R3" s="10" t="n"/>
      <c r="S3" s="11">
        <f>IFERROR(R3/Q3,"")</f>
        <v/>
      </c>
    </row>
    <row r="4" ht="17" customHeight="1">
      <c r="A4" s="6" t="n"/>
      <c r="B4" s="6" t="n"/>
      <c r="C4" s="6" t="n"/>
      <c r="D4" s="7" t="n"/>
      <c r="E4" s="7" t="n"/>
      <c r="F4" s="7" t="n"/>
      <c r="G4" s="8">
        <f>IFERROR(AVERAGE(D4:F4),"")</f>
        <v/>
      </c>
      <c r="H4" s="7" t="n"/>
      <c r="I4" s="7" t="n"/>
      <c r="J4" s="7" t="n"/>
      <c r="K4" s="8">
        <f>IFERROR(AVERAGE(H4:J4),"")</f>
        <v/>
      </c>
      <c r="L4" s="8">
        <f>IFERROR(G4+K4,"")</f>
        <v/>
      </c>
      <c r="M4" s="9" t="n"/>
      <c r="N4" s="10" t="n"/>
      <c r="O4" s="9" t="n"/>
      <c r="P4" s="10" t="n"/>
      <c r="Q4" s="9" t="n"/>
      <c r="R4" s="10" t="n"/>
      <c r="S4" s="11">
        <f>IFERROR(R4/Q4,"")</f>
        <v/>
      </c>
    </row>
    <row r="5" ht="17" customHeight="1">
      <c r="A5" s="6" t="n"/>
      <c r="B5" s="6" t="n"/>
      <c r="C5" s="6" t="n"/>
      <c r="D5" s="7" t="n"/>
      <c r="E5" s="7" t="n"/>
      <c r="F5" s="7" t="n"/>
      <c r="G5" s="8">
        <f>IFERROR(AVERAGE(D5:F5),"")</f>
        <v/>
      </c>
      <c r="H5" s="7" t="n"/>
      <c r="I5" s="7" t="n"/>
      <c r="J5" s="7" t="n"/>
      <c r="K5" s="8">
        <f>IFERROR(AVERAGE(H5:J5),"")</f>
        <v/>
      </c>
      <c r="L5" s="8">
        <f>IFERROR(G5+K5,"")</f>
        <v/>
      </c>
      <c r="M5" s="9" t="n"/>
      <c r="N5" s="10" t="n"/>
      <c r="O5" s="9" t="n"/>
      <c r="P5" s="10" t="n"/>
      <c r="Q5" s="9" t="n"/>
      <c r="R5" s="10" t="n"/>
      <c r="S5" s="11">
        <f>IFERROR(R5/Q5,"")</f>
        <v/>
      </c>
    </row>
    <row r="6" ht="17" customHeight="1">
      <c r="A6" s="6" t="n"/>
      <c r="B6" s="6" t="n"/>
      <c r="C6" s="6" t="n"/>
      <c r="D6" s="7" t="n"/>
      <c r="E6" s="7" t="n"/>
      <c r="F6" s="7" t="n"/>
      <c r="G6" s="8">
        <f>IFERROR(AVERAGE(D6:F6),"")</f>
        <v/>
      </c>
      <c r="H6" s="7" t="n"/>
      <c r="I6" s="7" t="n"/>
      <c r="J6" s="7" t="n"/>
      <c r="K6" s="8">
        <f>IFERROR(AVERAGE(H6:J6),"")</f>
        <v/>
      </c>
      <c r="L6" s="8">
        <f>IFERROR(G6+K6,"")</f>
        <v/>
      </c>
      <c r="M6" s="9" t="n"/>
      <c r="N6" s="10" t="n"/>
      <c r="O6" s="9" t="n"/>
      <c r="P6" s="10" t="n"/>
      <c r="Q6" s="9" t="n"/>
      <c r="R6" s="10" t="n"/>
      <c r="S6" s="11">
        <f>IFERROR(R6/Q6,"")</f>
        <v/>
      </c>
    </row>
    <row r="7" ht="17" customHeight="1">
      <c r="A7" s="6" t="n"/>
      <c r="B7" s="6" t="n"/>
      <c r="C7" s="6" t="n"/>
      <c r="D7" s="7" t="n"/>
      <c r="E7" s="7" t="n"/>
      <c r="F7" s="7" t="n"/>
      <c r="G7" s="8">
        <f>IFERROR(AVERAGE(D7:F7),"")</f>
        <v/>
      </c>
      <c r="H7" s="7" t="n"/>
      <c r="I7" s="7" t="n"/>
      <c r="J7" s="7" t="n"/>
      <c r="K7" s="8">
        <f>IFERROR(AVERAGE(H7:J7),"")</f>
        <v/>
      </c>
      <c r="L7" s="8">
        <f>IFERROR(G7+K7,"")</f>
        <v/>
      </c>
      <c r="M7" s="9" t="n"/>
      <c r="N7" s="10" t="n"/>
      <c r="O7" s="9" t="n"/>
      <c r="P7" s="10" t="n"/>
      <c r="Q7" s="9" t="n"/>
      <c r="R7" s="10" t="n"/>
      <c r="S7" s="11">
        <f>IFERROR(R7/Q7,"")</f>
        <v/>
      </c>
    </row>
    <row r="8" ht="17" customHeight="1">
      <c r="A8" s="6" t="n"/>
      <c r="B8" s="6" t="n"/>
      <c r="C8" s="6" t="n"/>
      <c r="D8" s="7" t="n"/>
      <c r="E8" s="7" t="n"/>
      <c r="F8" s="7" t="n"/>
      <c r="G8" s="8">
        <f>IFERROR(AVERAGE(D8:F8),"")</f>
        <v/>
      </c>
      <c r="H8" s="7" t="n"/>
      <c r="I8" s="7" t="n"/>
      <c r="J8" s="7" t="n"/>
      <c r="K8" s="8">
        <f>IFERROR(AVERAGE(H8:J8),"")</f>
        <v/>
      </c>
      <c r="L8" s="8">
        <f>IFERROR(G8+K8,"")</f>
        <v/>
      </c>
      <c r="M8" s="9" t="n"/>
      <c r="N8" s="10" t="n"/>
      <c r="O8" s="9" t="n"/>
      <c r="P8" s="10" t="n"/>
      <c r="Q8" s="9" t="n"/>
      <c r="R8" s="10" t="n"/>
      <c r="S8" s="11">
        <f>IFERROR(R8/Q8,"")</f>
        <v/>
      </c>
    </row>
    <row r="9" ht="17" customHeight="1">
      <c r="A9" s="6" t="n"/>
      <c r="B9" s="6" t="n"/>
      <c r="C9" s="6" t="n"/>
      <c r="D9" s="7" t="n"/>
      <c r="E9" s="7" t="n"/>
      <c r="F9" s="7" t="n"/>
      <c r="G9" s="8">
        <f>IFERROR(AVERAGE(D9:F9),"")</f>
        <v/>
      </c>
      <c r="H9" s="7" t="n"/>
      <c r="I9" s="7" t="n"/>
      <c r="J9" s="7" t="n"/>
      <c r="K9" s="8">
        <f>IFERROR(AVERAGE(H9:J9),"")</f>
        <v/>
      </c>
      <c r="L9" s="8">
        <f>IFERROR(G9+K9,"")</f>
        <v/>
      </c>
      <c r="M9" s="9" t="n"/>
      <c r="N9" s="10" t="n"/>
      <c r="O9" s="9" t="n"/>
      <c r="P9" s="10" t="n"/>
      <c r="Q9" s="9" t="n"/>
      <c r="R9" s="10" t="n"/>
      <c r="S9" s="11">
        <f>IFERROR(R9/Q9,"")</f>
        <v/>
      </c>
    </row>
    <row r="10" ht="17" customHeight="1">
      <c r="A10" s="6" t="n"/>
      <c r="B10" s="6" t="n"/>
      <c r="C10" s="6" t="n"/>
      <c r="D10" s="7" t="n"/>
      <c r="E10" s="7" t="n"/>
      <c r="F10" s="7" t="n"/>
      <c r="G10" s="8">
        <f>IFERROR(AVERAGE(D10:F10),"")</f>
        <v/>
      </c>
      <c r="H10" s="7" t="n"/>
      <c r="I10" s="7" t="n"/>
      <c r="J10" s="7" t="n"/>
      <c r="K10" s="8">
        <f>IFERROR(AVERAGE(H10:J10),"")</f>
        <v/>
      </c>
      <c r="L10" s="8">
        <f>IFERROR(G10+K10,"")</f>
        <v/>
      </c>
      <c r="M10" s="9" t="n"/>
      <c r="N10" s="10" t="n"/>
      <c r="O10" s="9" t="n"/>
      <c r="P10" s="10" t="n"/>
      <c r="Q10" s="9" t="n"/>
      <c r="R10" s="10" t="n"/>
      <c r="S10" s="11">
        <f>IFERROR(R10/Q10,"")</f>
        <v/>
      </c>
    </row>
    <row r="11" ht="17" customHeight="1">
      <c r="A11" s="6" t="n"/>
      <c r="B11" s="6" t="n"/>
      <c r="C11" s="6" t="n"/>
      <c r="D11" s="7" t="n"/>
      <c r="E11" s="7" t="n"/>
      <c r="F11" s="7" t="n"/>
      <c r="G11" s="8">
        <f>IFERROR(AVERAGE(D11:F11),"")</f>
        <v/>
      </c>
      <c r="H11" s="7" t="n"/>
      <c r="I11" s="7" t="n"/>
      <c r="J11" s="7" t="n"/>
      <c r="K11" s="8">
        <f>IFERROR(AVERAGE(H11:J11),"")</f>
        <v/>
      </c>
      <c r="L11" s="8">
        <f>IFERROR(G11+K11,"")</f>
        <v/>
      </c>
      <c r="M11" s="9" t="n"/>
      <c r="N11" s="10" t="n"/>
      <c r="O11" s="9" t="n"/>
      <c r="P11" s="10" t="n"/>
      <c r="Q11" s="9" t="n"/>
      <c r="R11" s="10" t="n"/>
      <c r="S11" s="11">
        <f>IFERROR(R11/Q11,"")</f>
        <v/>
      </c>
    </row>
    <row r="12" ht="17" customHeight="1">
      <c r="A12" s="6" t="n"/>
      <c r="B12" s="6" t="n"/>
      <c r="C12" s="6" t="n"/>
      <c r="D12" s="7" t="n"/>
      <c r="E12" s="7" t="n"/>
      <c r="F12" s="7" t="n"/>
      <c r="G12" s="8">
        <f>IFERROR(AVERAGE(D12:F12),"")</f>
        <v/>
      </c>
      <c r="H12" s="7" t="n"/>
      <c r="I12" s="7" t="n"/>
      <c r="J12" s="7" t="n"/>
      <c r="K12" s="8">
        <f>IFERROR(AVERAGE(H12:J12),"")</f>
        <v/>
      </c>
      <c r="L12" s="8">
        <f>IFERROR(G12+K12,"")</f>
        <v/>
      </c>
      <c r="M12" s="9" t="n"/>
      <c r="N12" s="10" t="n"/>
      <c r="O12" s="9" t="n"/>
      <c r="P12" s="10" t="n"/>
      <c r="Q12" s="9" t="n"/>
      <c r="R12" s="10" t="n"/>
      <c r="S12" s="11">
        <f>IFERROR(R12/Q12,"")</f>
        <v/>
      </c>
    </row>
    <row r="13" ht="17" customHeight="1">
      <c r="A13" s="6" t="n"/>
      <c r="B13" s="6" t="n"/>
      <c r="C13" s="6" t="n"/>
      <c r="D13" s="7" t="n"/>
      <c r="E13" s="7" t="n"/>
      <c r="F13" s="7" t="n"/>
      <c r="G13" s="8">
        <f>IFERROR(AVERAGE(D13:F13),"")</f>
        <v/>
      </c>
      <c r="H13" s="7" t="n"/>
      <c r="I13" s="7" t="n"/>
      <c r="J13" s="7" t="n"/>
      <c r="K13" s="8">
        <f>IFERROR(AVERAGE(H13:J13),"")</f>
        <v/>
      </c>
      <c r="L13" s="8">
        <f>IFERROR(G13+K13,"")</f>
        <v/>
      </c>
      <c r="M13" s="9" t="n"/>
      <c r="N13" s="10" t="n"/>
      <c r="O13" s="9" t="n"/>
      <c r="P13" s="10" t="n"/>
      <c r="Q13" s="9" t="n"/>
      <c r="R13" s="10" t="n"/>
      <c r="S13" s="11">
        <f>IFERROR(R13/Q13,"")</f>
        <v/>
      </c>
    </row>
    <row r="14" ht="17" customHeight="1">
      <c r="A14" s="6" t="n"/>
      <c r="B14" s="6" t="n"/>
      <c r="C14" s="6" t="n"/>
      <c r="D14" s="7" t="n"/>
      <c r="E14" s="7" t="n"/>
      <c r="F14" s="7" t="n"/>
      <c r="G14" s="8">
        <f>IFERROR(AVERAGE(D14:F14),"")</f>
        <v/>
      </c>
      <c r="H14" s="7" t="n"/>
      <c r="I14" s="7" t="n"/>
      <c r="J14" s="7" t="n"/>
      <c r="K14" s="8">
        <f>IFERROR(AVERAGE(H14:J14),"")</f>
        <v/>
      </c>
      <c r="L14" s="8">
        <f>IFERROR(G14+K14,"")</f>
        <v/>
      </c>
      <c r="M14" s="9" t="n"/>
      <c r="N14" s="10" t="n"/>
      <c r="O14" s="9" t="n"/>
      <c r="P14" s="10" t="n"/>
      <c r="Q14" s="9" t="n"/>
      <c r="R14" s="10" t="n"/>
      <c r="S14" s="11">
        <f>IFERROR(R14/Q14,"")</f>
        <v/>
      </c>
    </row>
    <row r="15" ht="17" customHeight="1">
      <c r="A15" s="6" t="n"/>
      <c r="B15" s="6" t="n"/>
      <c r="C15" s="6" t="n"/>
      <c r="D15" s="7" t="n"/>
      <c r="E15" s="7" t="n"/>
      <c r="F15" s="7" t="n"/>
      <c r="G15" s="8">
        <f>IFERROR(AVERAGE(D15:F15),"")</f>
        <v/>
      </c>
      <c r="H15" s="7" t="n"/>
      <c r="I15" s="7" t="n"/>
      <c r="J15" s="7" t="n"/>
      <c r="K15" s="8">
        <f>IFERROR(AVERAGE(H15:J15),"")</f>
        <v/>
      </c>
      <c r="L15" s="8">
        <f>IFERROR(G15+K15,"")</f>
        <v/>
      </c>
      <c r="M15" s="9" t="n"/>
      <c r="N15" s="10" t="n"/>
      <c r="O15" s="9" t="n"/>
      <c r="P15" s="10" t="n"/>
      <c r="Q15" s="9" t="n"/>
      <c r="R15" s="10" t="n"/>
      <c r="S15" s="11">
        <f>IFERROR(R15/Q15,"")</f>
        <v/>
      </c>
    </row>
    <row r="16" ht="17" customHeight="1">
      <c r="A16" s="6" t="n"/>
      <c r="B16" s="6" t="n"/>
      <c r="C16" s="6" t="n"/>
      <c r="D16" s="7" t="n"/>
      <c r="E16" s="7" t="n"/>
      <c r="F16" s="7" t="n"/>
      <c r="G16" s="8">
        <f>IFERROR(AVERAGE(D16:F16),"")</f>
        <v/>
      </c>
      <c r="H16" s="7" t="n"/>
      <c r="I16" s="7" t="n"/>
      <c r="J16" s="7" t="n"/>
      <c r="K16" s="8">
        <f>IFERROR(AVERAGE(H16:J16),"")</f>
        <v/>
      </c>
      <c r="L16" s="8">
        <f>IFERROR(G16+K16,"")</f>
        <v/>
      </c>
      <c r="M16" s="9" t="n"/>
      <c r="N16" s="10" t="n"/>
      <c r="O16" s="9" t="n"/>
      <c r="P16" s="10" t="n"/>
      <c r="Q16" s="9" t="n"/>
      <c r="R16" s="10" t="n"/>
      <c r="S16" s="11">
        <f>IFERROR(R16/Q16,"")</f>
        <v/>
      </c>
    </row>
    <row r="17" ht="17" customHeight="1">
      <c r="A17" s="6" t="n"/>
      <c r="B17" s="6" t="n"/>
      <c r="C17" s="6" t="n"/>
      <c r="D17" s="7" t="n"/>
      <c r="E17" s="7" t="n"/>
      <c r="F17" s="7" t="n"/>
      <c r="G17" s="8">
        <f>IFERROR(AVERAGE(D17:F17),"")</f>
        <v/>
      </c>
      <c r="H17" s="7" t="n"/>
      <c r="I17" s="7" t="n"/>
      <c r="J17" s="7" t="n"/>
      <c r="K17" s="8">
        <f>IFERROR(AVERAGE(H17:J17),"")</f>
        <v/>
      </c>
      <c r="L17" s="8">
        <f>IFERROR(G17+K17,"")</f>
        <v/>
      </c>
      <c r="M17" s="9" t="n"/>
      <c r="N17" s="10" t="n"/>
      <c r="O17" s="9" t="n"/>
      <c r="P17" s="10" t="n"/>
      <c r="Q17" s="9" t="n"/>
      <c r="R17" s="10" t="n"/>
      <c r="S17" s="11">
        <f>IFERROR(R17/Q17,"")</f>
        <v/>
      </c>
    </row>
    <row r="18">
      <c r="A18" s="12" t="inlineStr">
        <is>
          <t>TOTAL / BLENDED</t>
        </is>
      </c>
      <c r="B18" s="13">
        <f>COUNTA(A3:A17)&amp;" dealers"</f>
        <v/>
      </c>
      <c r="C18" s="12" t="n"/>
      <c r="D18" s="14">
        <f>SUM(D3:D17)</f>
        <v/>
      </c>
      <c r="E18" s="14">
        <f>SUM(E3:E17)</f>
        <v/>
      </c>
      <c r="F18" s="14">
        <f>SUM(F3:F17)</f>
        <v/>
      </c>
      <c r="G18" s="14">
        <f>SUM(G3:G17)</f>
        <v/>
      </c>
      <c r="H18" s="14">
        <f>SUM(H3:H17)</f>
        <v/>
      </c>
      <c r="I18" s="14">
        <f>SUM(I3:I17)</f>
        <v/>
      </c>
      <c r="J18" s="14">
        <f>SUM(J3:J17)</f>
        <v/>
      </c>
      <c r="K18" s="14">
        <f>SUM(K3:K17)</f>
        <v/>
      </c>
      <c r="L18" s="14">
        <f>SUM(L3:L17)</f>
        <v/>
      </c>
      <c r="M18" s="15">
        <f>SUM(M3:M17)</f>
        <v/>
      </c>
      <c r="N18" s="16">
        <f>SUM(N3:N17)</f>
        <v/>
      </c>
      <c r="O18" s="15">
        <f>SUM(O3:O17)</f>
        <v/>
      </c>
      <c r="P18" s="16">
        <f>SUM(P3:P17)</f>
        <v/>
      </c>
      <c r="Q18" s="15">
        <f>SUM(Q3:Q17)</f>
        <v/>
      </c>
      <c r="R18" s="16">
        <f>SUM(R3:R17)</f>
        <v/>
      </c>
      <c r="S18" s="16">
        <f>IFERROR(R18/Q18,"")</f>
        <v/>
      </c>
    </row>
  </sheetData>
  <autoFilter ref="A2:S17"/>
  <mergeCells count="9">
    <mergeCell ref="Q1:S1"/>
    <mergeCell ref="O1:P1"/>
    <mergeCell ref="C1:C2"/>
    <mergeCell ref="B1:B2"/>
    <mergeCell ref="D1:G1"/>
    <mergeCell ref="M1:N1"/>
    <mergeCell ref="H1:K1"/>
    <mergeCell ref="L1:L2"/>
    <mergeCell ref="A1:A2"/>
  </mergeCells>
  <dataValidations count="1">
    <dataValidation sqref="B3:B17" showDropDown="0" showInputMessage="0" showErrorMessage="0" allowBlank="1" type="list">
      <formula1>"IOCL,BPCL,HPCL,Reliance,Nayara,Shell"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4" customWidth="1" min="1" max="1"/>
    <col width="52" customWidth="1" min="2" max="2"/>
    <col width="18" customWidth="1" min="3" max="3"/>
    <col width="46" customWidth="1" min="4" max="4"/>
  </cols>
  <sheetData>
    <row r="1" ht="22" customHeight="1">
      <c r="A1" s="17" t="inlineStr">
        <is>
          <t>DZZLO — Net-Banking Volume Summary for Union Bank of India</t>
        </is>
      </c>
    </row>
    <row r="2">
      <c r="A2" s="18" t="inlineStr">
        <is>
          <t>Everything below derives from the 'Dealer Data' sheet. Only the yellow / orange cells are typed.</t>
        </is>
      </c>
    </row>
    <row r="4" ht="20" customHeight="1">
      <c r="A4" s="19" t="inlineStr">
        <is>
          <t>ASSUMPTIONS</t>
        </is>
      </c>
      <c r="B4" s="20" t="n"/>
      <c r="C4" s="20" t="n"/>
      <c r="D4" s="20" t="n"/>
    </row>
    <row r="5">
      <c r="B5" s="21" t="inlineStr">
        <is>
          <t>Quoted net-banking MDR</t>
        </is>
      </c>
      <c r="C5" s="22" t="n">
        <v>0.018</v>
      </c>
      <c r="D5" s="18" t="inlineStr">
        <is>
          <t>The Bank's offer.</t>
        </is>
      </c>
    </row>
    <row r="6">
      <c r="B6" s="21" t="inlineStr">
        <is>
          <t>Flat fee counter-proposal (₹ per transaction)</t>
        </is>
      </c>
      <c r="C6" s="23" t="n">
        <v>25</v>
      </c>
      <c r="D6" s="18" t="inlineStr">
        <is>
          <t>Our ask. Change to test levels.</t>
        </is>
      </c>
    </row>
    <row r="7">
      <c r="B7" s="21" t="inlineStr">
        <is>
          <t>HSD dealer commission (₹ / litre)</t>
        </is>
      </c>
      <c r="C7" s="24" t="n">
        <v>2.2</v>
      </c>
      <c r="D7" s="18" t="inlineStr">
        <is>
          <t>Confirmed — see Topic 2.</t>
        </is>
      </c>
    </row>
    <row r="8">
      <c r="B8" s="21" t="inlineStr">
        <is>
          <t>HSD pump price (₹ / litre)</t>
        </is>
      </c>
      <c r="C8" s="25" t="n"/>
      <c r="D8" s="18" t="inlineStr">
        <is>
          <t>CONFIRM. Topic 2 uses ₹93 as a working assumption.</t>
        </is>
      </c>
    </row>
    <row r="10" ht="20" customHeight="1">
      <c r="A10" s="19" t="inlineStr">
        <is>
          <t>THE DEALER BASE</t>
        </is>
      </c>
      <c r="B10" s="20" t="n"/>
      <c r="C10" s="20" t="n"/>
      <c r="D10" s="20" t="n"/>
    </row>
    <row r="11">
      <c r="B11" s="21" t="inlineStr">
        <is>
          <t>Dealers in this data set</t>
        </is>
      </c>
      <c r="C11" s="26">
        <f>COUNTA('Dealer Data'!A3:A17)</f>
        <v/>
      </c>
    </row>
    <row r="12">
      <c r="B12" s="21" t="inlineStr">
        <is>
          <t>Avg monthly MS (petrol) sale — KL</t>
        </is>
      </c>
      <c r="C12" s="27">
        <f>'Dealer Data'!G18</f>
        <v/>
      </c>
    </row>
    <row r="13">
      <c r="B13" s="21" t="inlineStr">
        <is>
          <t>Avg monthly HSD (diesel) sale — KL</t>
        </is>
      </c>
      <c r="C13" s="27">
        <f>'Dealer Data'!K18</f>
        <v/>
      </c>
    </row>
    <row r="14">
      <c r="B14" s="21" t="inlineStr">
        <is>
          <t>Avg monthly total throughput — KL</t>
        </is>
      </c>
      <c r="C14" s="27">
        <f>'Dealer Data'!L18</f>
        <v/>
      </c>
    </row>
    <row r="16" ht="20" customHeight="1">
      <c r="A16" s="19" t="inlineStr">
        <is>
          <t>MONTHLY TRANSACTIONS, ALL DEALERS</t>
        </is>
      </c>
      <c r="B16" s="20" t="n"/>
      <c r="C16" s="20" t="n"/>
      <c r="D16" s="20" t="n"/>
    </row>
    <row r="17">
      <c r="B17" s="21" t="inlineStr">
        <is>
          <t>Net banking — transactions / month</t>
        </is>
      </c>
      <c r="C17" s="28">
        <f>'Dealer Data'!Q18</f>
        <v/>
      </c>
    </row>
    <row r="18">
      <c r="B18" s="21" t="inlineStr">
        <is>
          <t>Net banking — value / month</t>
        </is>
      </c>
      <c r="C18" s="29">
        <f>'Dealer Data'!R18</f>
        <v/>
      </c>
    </row>
    <row r="19">
      <c r="B19" s="21" t="inlineStr">
        <is>
          <t>Net banking — average ticket</t>
        </is>
      </c>
      <c r="C19" s="29">
        <f>IFERROR(C18/C17,"")</f>
        <v/>
      </c>
      <c r="D19" s="18" t="inlineStr">
        <is>
          <t>Topic 1/2 claim ~₹1 lakh — this is where the data confirms it.</t>
        </is>
      </c>
    </row>
    <row r="20">
      <c r="B20" s="21" t="inlineStr">
        <is>
          <t>UPI — transactions / month</t>
        </is>
      </c>
      <c r="C20" s="26">
        <f>'Dealer Data'!O18</f>
        <v/>
      </c>
    </row>
    <row r="21">
      <c r="B21" s="21" t="inlineStr">
        <is>
          <t>UPI — value / month</t>
        </is>
      </c>
      <c r="C21" s="30">
        <f>'Dealer Data'!P18</f>
        <v/>
      </c>
    </row>
    <row r="22">
      <c r="B22" s="21" t="inlineStr">
        <is>
          <t>Loyalty / fleet card — transactions / month</t>
        </is>
      </c>
      <c r="C22" s="26">
        <f>'Dealer Data'!M18</f>
        <v/>
      </c>
    </row>
    <row r="23">
      <c r="B23" s="21" t="inlineStr">
        <is>
          <t>Loyalty / fleet card — value / month</t>
        </is>
      </c>
      <c r="C23" s="30">
        <f>'Dealer Data'!N18</f>
        <v/>
      </c>
    </row>
    <row r="25" ht="20" customHeight="1">
      <c r="A25" s="19" t="inlineStr">
        <is>
          <t>ANNUALISED — NET BANKING</t>
        </is>
      </c>
      <c r="B25" s="20" t="n"/>
      <c r="C25" s="20" t="n"/>
      <c r="D25" s="20" t="n"/>
    </row>
    <row r="26">
      <c r="B26" s="21" t="inlineStr">
        <is>
          <t>Transactions / year</t>
        </is>
      </c>
      <c r="C26" s="26">
        <f>C17*12</f>
        <v/>
      </c>
    </row>
    <row r="27">
      <c r="B27" s="21" t="inlineStr">
        <is>
          <t>Value / year</t>
        </is>
      </c>
      <c r="C27" s="30">
        <f>C18*12</f>
        <v/>
      </c>
    </row>
    <row r="29" ht="20" customHeight="1">
      <c r="A29" s="19" t="inlineStr">
        <is>
          <t>WHAT THE TWO PRICING MODELS EXTRACT  (net banking only)</t>
        </is>
      </c>
      <c r="B29" s="20" t="n"/>
      <c r="C29" s="20" t="n"/>
      <c r="D29" s="20" t="n"/>
    </row>
    <row r="30">
      <c r="B30" s="21" t="inlineStr">
        <is>
          <t>At the quoted MDR — per month</t>
        </is>
      </c>
      <c r="C30" s="30">
        <f>C18*C5</f>
        <v/>
      </c>
    </row>
    <row r="31">
      <c r="B31" s="21" t="inlineStr">
        <is>
          <t>At the quoted MDR — per year</t>
        </is>
      </c>
      <c r="C31" s="29">
        <f>C30*12</f>
        <v/>
      </c>
    </row>
    <row r="32">
      <c r="B32" s="21" t="inlineStr">
        <is>
          <t>At the flat fee — per month</t>
        </is>
      </c>
      <c r="C32" s="30">
        <f>C17*C6</f>
        <v/>
      </c>
    </row>
    <row r="33">
      <c r="B33" s="21" t="inlineStr">
        <is>
          <t>At the flat fee — per year</t>
        </is>
      </c>
      <c r="C33" s="29">
        <f>C32*12</f>
        <v/>
      </c>
    </row>
    <row r="34">
      <c r="B34" s="21" t="inlineStr">
        <is>
          <t>MDR ÷ flat fee</t>
        </is>
      </c>
      <c r="C34" s="31">
        <f>IFERROR(C30/C32,"")</f>
        <v/>
      </c>
      <c r="D34" s="18" t="inlineStr">
        <is>
          <t>What choosing the wrong axis costs the dealer.</t>
        </is>
      </c>
    </row>
    <row r="36" ht="20" customHeight="1">
      <c r="A36" s="19" t="inlineStr">
        <is>
          <t>AGAINST THE DEALER'S COMMISSION</t>
        </is>
      </c>
      <c r="B36" s="20" t="n"/>
      <c r="C36" s="20" t="n"/>
      <c r="D36" s="20" t="n"/>
    </row>
    <row r="37">
      <c r="B37" s="18" t="inlineStr">
        <is>
          <t>Net-banking receipts are credit customers settling diesel bills, so they are measured against HSD commission.</t>
        </is>
      </c>
    </row>
    <row r="38">
      <c r="B38" s="21" t="inlineStr">
        <is>
          <t>Litres of diesel behind those receipts / month</t>
        </is>
      </c>
      <c r="C38" s="26">
        <f>IFERROR(C18/C8,"")</f>
        <v/>
      </c>
    </row>
    <row r="39">
      <c r="B39" s="21" t="inlineStr">
        <is>
          <t>Dealer's gross commission on them (₹ / month)</t>
        </is>
      </c>
      <c r="C39" s="30">
        <f>IFERROR(C38*C7,"")</f>
        <v/>
      </c>
    </row>
    <row r="40">
      <c r="B40" s="21" t="inlineStr">
        <is>
          <t>Quoted MDR as a share of that commission</t>
        </is>
      </c>
      <c r="C40" s="32">
        <f>IFERROR(C30/C39,"")</f>
        <v/>
      </c>
      <c r="D40" s="18" t="inlineStr">
        <is>
          <t>Topic 2 puts this near 76%.</t>
        </is>
      </c>
    </row>
    <row r="41">
      <c r="B41" s="21" t="inlineStr">
        <is>
          <t>Flat fee as a share of that commission</t>
        </is>
      </c>
      <c r="C41" s="32">
        <f>IFERROR(C32/C39,"")</f>
        <v/>
      </c>
    </row>
    <row r="43">
      <c r="B43" s="33" t="inlineStr">
        <is>
          <t>Note: the MDR share is (MDR × pump price) ÷ commission per litre — it has no volume term in it. It does not improve at scale, and it does not improve at a larger ticket.</t>
        </is>
      </c>
    </row>
  </sheetData>
  <mergeCells count="10">
    <mergeCell ref="A1:D1"/>
    <mergeCell ref="B37:D37"/>
    <mergeCell ref="B43:D43"/>
    <mergeCell ref="A4:D4"/>
    <mergeCell ref="A29:D29"/>
    <mergeCell ref="A25:D25"/>
    <mergeCell ref="A2:D2"/>
    <mergeCell ref="A16:D16"/>
    <mergeCell ref="A10:D10"/>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4" customWidth="1" min="1" max="1"/>
    <col width="34" customWidth="1" min="2" max="2"/>
    <col width="92" customWidth="1" min="3" max="3"/>
  </cols>
  <sheetData>
    <row r="1" ht="22" customHeight="1">
      <c r="A1" s="17" t="inlineStr">
        <is>
          <t>How to fill this in</t>
        </is>
      </c>
    </row>
    <row r="3">
      <c r="B3" s="34" t="inlineStr">
        <is>
          <t>Column</t>
        </is>
      </c>
      <c r="C3" s="34" t="inlineStr">
        <is>
          <t>What goes in it, and where it comes from</t>
        </is>
      </c>
    </row>
    <row r="4" ht="30" customHeight="1">
      <c r="B4" s="35" t="inlineStr">
        <is>
          <t>Dealer Name</t>
        </is>
      </c>
      <c r="C4" s="36" t="inlineStr">
        <is>
          <t>Outlet / firm name as it appears on the OMC dealership.</t>
        </is>
      </c>
    </row>
    <row r="5" ht="30" customHeight="1">
      <c r="B5" s="35" t="inlineStr">
        <is>
          <t>Oil Company</t>
        </is>
      </c>
      <c r="C5" s="36" t="inlineStr">
        <is>
          <t>IOCL / BPCL / HPCL / Reliance / Nayara / Shell. Dropdown provided.</t>
        </is>
      </c>
    </row>
    <row r="6" ht="30" customHeight="1">
      <c r="B6" s="35" t="inlineStr">
        <is>
          <t>Trading Area</t>
        </is>
      </c>
      <c r="C6" s="36" t="inlineStr">
        <is>
          <t>The dealer's trading area as classified by the OMC.</t>
        </is>
      </c>
    </row>
    <row r="7" ht="42" customHeight="1">
      <c r="B7" s="35" t="inlineStr">
        <is>
          <t>MS Sale — Month 1/2/3</t>
        </is>
      </c>
      <c r="C7" s="36" t="inlineStr">
        <is>
          <t>Petrol sold, in KILOLITRES, for each of the last three completed months. Source: the dealer's DSR or the OMC dealer portal. If reported in litres, divide by 1,000.</t>
        </is>
      </c>
    </row>
    <row r="8" ht="30" customHeight="1">
      <c r="B8" s="35" t="inlineStr">
        <is>
          <t>HSD Sale — Month 1/2/3</t>
        </is>
      </c>
      <c r="C8" s="36" t="inlineStr">
        <is>
          <t>Diesel sold, in KILOLITRES, for the same three months. Same source.</t>
        </is>
      </c>
    </row>
    <row r="9" ht="30" customHeight="1">
      <c r="B9" s="35" t="inlineStr">
        <is>
          <t>Average / Total columns</t>
        </is>
      </c>
      <c r="C9" s="36" t="inlineStr">
        <is>
          <t>Computed. Grey and italic — do not type in these.</t>
        </is>
      </c>
    </row>
    <row r="10" ht="42" customHeight="1">
      <c r="B10" s="35" t="inlineStr">
        <is>
          <t>Loyalty / Fleet Card</t>
        </is>
      </c>
      <c r="C10" s="36" t="inlineStr">
        <is>
          <t>Fleet-card business per month (XTRAPOWER, PetroCard / SmartFleet, DriveTrack). Source: the dealer's card terminal reconciliation.</t>
        </is>
      </c>
    </row>
    <row r="11" ht="30" customHeight="1">
      <c r="B11" s="35" t="inlineStr">
        <is>
          <t>UPI</t>
        </is>
      </c>
      <c r="C11" s="36" t="inlineStr">
        <is>
          <t>UPI collections per month. Source: QR / UPI settlement statement.</t>
        </is>
      </c>
    </row>
    <row r="12" ht="42" customHeight="1">
      <c r="B12" s="35" t="inlineStr">
        <is>
          <t>Net Banking Transfers</t>
        </is>
      </c>
      <c r="C12" s="36" t="inlineStr">
        <is>
          <t>Credit customers settling their bills by NEFT / RTGS / IMPS. Source: the dealer's bank statement or receivables ledger. THIS IS THE COLUMN THAT MATTERS — it is the business the IPG would carry.</t>
        </is>
      </c>
    </row>
    <row r="14">
      <c r="A14" s="37" t="inlineStr">
        <is>
          <t>Four things to get right</t>
        </is>
      </c>
    </row>
    <row r="16">
      <c r="B16" s="38" t="inlineStr">
        <is>
          <t>Count and value, not just "volume".</t>
        </is>
      </c>
    </row>
    <row r="17" ht="46" customHeight="1">
      <c r="B17" s="39" t="inlineStr">
        <is>
          <t>Every payment mode is split into transaction COUNT and transaction VALUE, because the whole argument in §3 turns on the difference: the Bank's cost from Easebuzz is driven by the count, and the 1.8% is driven by the value. One number cannot show that. If a dealer can only give one, take the value, estimate the count from a typical ticket, and mark the cell so it is not passed off as observed.</t>
        </is>
      </c>
    </row>
    <row r="19">
      <c r="B19" s="38" t="inlineStr">
        <is>
          <t>Record which three months these are.</t>
        </is>
      </c>
    </row>
    <row r="20" ht="46" customHeight="1">
      <c r="B20" s="39" t="inlineStr">
        <is>
          <t>Write the period here → ____________________________ . Use the last three COMPLETED months, the same three for every dealer, and avoid a month distorted by a price change or a supply outage.</t>
        </is>
      </c>
    </row>
    <row r="22">
      <c r="B22" s="38" t="inlineStr">
        <is>
          <t>This is a projection, not a commitment.</t>
        </is>
      </c>
    </row>
    <row r="23" ht="46" customHeight="1">
      <c r="B23" s="39" t="inlineStr">
        <is>
          <t>A bank reads any number it is handed as a promise, and a missed promise is how a waiver gets withdrawn. Keep dealers already signed separate from dealers in the pipeline, label the whole thing a projection, and offer the Bank a review at 12 months against actuals.</t>
        </is>
      </c>
    </row>
    <row r="25">
      <c r="B25" s="38" t="inlineStr">
        <is>
          <t>The Bank can price this without telling us its Easebuzz cost.</t>
        </is>
      </c>
    </row>
    <row r="26" ht="46" customHeight="1">
      <c r="B26" s="39" t="inlineStr">
        <is>
          <t>We do not know what Easebuzz charges the Bank per net-banking transaction. We do not need to. Handing the Bank the count and the value side by side lets them run their own cost against both axes and see the gap themselves — which is a stronger move than us asserting their margin.</t>
        </is>
      </c>
    </row>
  </sheetData>
  <mergeCells count="10">
    <mergeCell ref="B16:C16"/>
    <mergeCell ref="B26:C26"/>
    <mergeCell ref="A1:C1"/>
    <mergeCell ref="B25:C25"/>
    <mergeCell ref="B19:C19"/>
    <mergeCell ref="A14:C14"/>
    <mergeCell ref="B20:C20"/>
    <mergeCell ref="B23:C23"/>
    <mergeCell ref="B22:C22"/>
    <mergeCell ref="B17:C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2026-07-16T10:48:51Z</dcterms:created>
  <dcterms:modified xsi:type="dcterms:W3CDTF">2026-07-16T10:48:51Z</dcterms:modified>
</cp:coreProperties>
</file>