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way &amp; 13-Week Cash" sheetId="2" state="visible" r:id="rId2"/>
    <sheet name="Budget vs Actual" sheetId="3" state="visible" r:id="rId3"/>
    <sheet name="KPI Scorecard" sheetId="4" state="visible" r:id="rId4"/>
    <sheet name="OKR Tracker" sheetId="5" state="visible" r:id="rId5"/>
    <sheet name="Compliance Calendar" sheetId="6" state="visible" r:id="rId6"/>
    <sheet name="Vendor &amp; Tool Register" sheetId="7" state="visible" r:id="rId7"/>
    <sheet name="Risk Register" sheetId="8" state="visible" r:id="rId8"/>
    <sheet name="RACI" sheetId="9" state="visible" r:id="rId9"/>
    <sheet name="Hiring Pipeline" sheetId="10" state="visible" r:id="rId10"/>
    <sheet name="Headcount Plan" sheetId="11" state="visible" r:id="rId11"/>
    <sheet name="Decision Log" sheetId="12" state="visible" r:id="rId12"/>
    <sheet name="Cadence Calendar" sheetId="13" state="visible" r:id="rId13"/>
    <sheet name="SOP Index" sheetId="14" state="visible" r:id="rId14"/>
    <sheet name="DoA Matrix" sheetId="15" state="visible" r:id="rId15"/>
    <sheet name="Automation Backlog" sheetId="16" state="visible" r:id="rId16"/>
  </sheets>
  <definedNames>
    <definedName name="_xlnm._FilterDatabase" localSheetId="5" hidden="1">'Compliance Calendar'!$A$4:$J$51</definedName>
    <definedName name="_xlnm._FilterDatabase" localSheetId="6" hidden="1">'Vendor &amp; Tool Register'!$A$4:$O$44</definedName>
    <definedName name="_xlnm._FilterDatabase" localSheetId="7" hidden="1">'Risk Register'!$A$4:$L$24</definedName>
    <definedName name="_xlnm._FilterDatabase" localSheetId="9" hidden="1">'Hiring Pipeline'!$A$4:$K$24</definedName>
    <definedName name="_xlnm._FilterDatabase" localSheetId="11" hidden="1">'Decision Log'!$A$4:$J$24</definedName>
    <definedName name="_xlnm._FilterDatabase" localSheetId="12" hidden="1">'Cadence Calendar'!$A$4:$H$29</definedName>
    <definedName name="_xlnm._FilterDatabase" localSheetId="13" hidden="1">'SOP Index'!$A$4:$I$44</definedName>
    <definedName name="_xlnm._FilterDatabase" localSheetId="14" hidden="1">'DoA Matrix'!$A$4:$H$39</definedName>
    <definedName name="_xlnm._FilterDatabase" localSheetId="15" hidden="1">'Automation Backlog'!$A$4:$N$20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₹&quot;#,##0;-&quot;₹&quot;#,##0"/>
    <numFmt numFmtId="165" formatCode="0.0"/>
    <numFmt numFmtId="166" formatCode="yyyy-mm-dd"/>
    <numFmt numFmtId="167" formatCode="mmm yyyy"/>
    <numFmt numFmtId="168" formatCode="0.0%"/>
    <numFmt numFmtId="169" formatCode="&quot;M&quot;0"/>
  </numFmts>
  <fonts count="14">
    <font>
      <name val="Calibri"/>
      <family val="2"/>
      <color theme="1"/>
      <sz val="11"/>
      <scheme val="minor"/>
    </font>
    <font>
      <b val="1"/>
      <color rgb="000F172A"/>
      <sz val="13"/>
    </font>
    <font>
      <i val="1"/>
      <color rgb="0064748B"/>
      <sz val="9"/>
    </font>
    <font>
      <b val="1"/>
      <color rgb="00FFFFFF"/>
      <sz val="10"/>
    </font>
    <font>
      <b val="1"/>
    </font>
    <font>
      <b val="1"/>
      <color rgb="000F172A"/>
    </font>
    <font>
      <i val="1"/>
      <color rgb="00808080"/>
    </font>
    <font>
      <color rgb="00006100"/>
    </font>
    <font>
      <color rgb="009C6500"/>
    </font>
    <font>
      <color rgb="009C0006"/>
    </font>
    <font>
      <sz val="9"/>
    </font>
    <font>
      <b val="1"/>
      <sz val="9"/>
    </font>
    <font>
      <b val="1"/>
      <color rgb="00334155"/>
    </font>
    <font>
      <b val="1"/>
      <i val="1"/>
      <color rgb="00808080"/>
    </font>
  </fonts>
  <fills count="11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FF9C4"/>
      </patternFill>
    </fill>
    <fill>
      <patternFill patternType="solid">
        <fgColor rgb="00E8F0F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7" fillId="6" borderId="1" pivotButton="0" quotePrefix="0" xfId="0"/>
    <xf numFmtId="0" fontId="8" fillId="7" borderId="1" pivotButton="0" quotePrefix="0" xfId="0"/>
    <xf numFmtId="0" fontId="9" fillId="8" borderId="1" pivotButton="0" quotePrefix="0" xfId="0"/>
    <xf numFmtId="0" fontId="0" fillId="9" borderId="1" pivotButton="0" quotePrefix="0" xfId="0"/>
    <xf numFmtId="0" fontId="0" fillId="0" borderId="1" applyAlignment="1" pivotButton="0" quotePrefix="0" xfId="0">
      <alignment vertical="top"/>
    </xf>
    <xf numFmtId="164" fontId="6" fillId="4" borderId="1" pivotButton="0" quotePrefix="0" xfId="0"/>
    <xf numFmtId="0" fontId="2" fillId="0" borderId="1" pivotButton="0" quotePrefix="0" xfId="0"/>
    <xf numFmtId="0" fontId="4" fillId="10" borderId="1" applyAlignment="1" pivotButton="0" quotePrefix="0" xfId="0">
      <alignment vertical="top"/>
    </xf>
    <xf numFmtId="164" fontId="4" fillId="5" borderId="1" pivotButton="0" quotePrefix="0" xfId="0"/>
    <xf numFmtId="0" fontId="0" fillId="10" borderId="1" pivotButton="0" quotePrefix="0" xfId="0"/>
    <xf numFmtId="165" fontId="4" fillId="5" borderId="1" pivotButton="0" quotePrefix="0" xfId="0"/>
    <xf numFmtId="1" fontId="6" fillId="4" borderId="1" pivotButton="0" quotePrefix="0" xfId="0"/>
    <xf numFmtId="0" fontId="4" fillId="0" borderId="1" applyAlignment="1" pivotButton="0" quotePrefix="0" xfId="0">
      <alignment vertical="top"/>
    </xf>
    <xf numFmtId="0" fontId="4" fillId="5" borderId="1" pivotButton="0" quotePrefix="0" xfId="0"/>
    <xf numFmtId="0" fontId="0" fillId="0" borderId="1" pivotButton="0" quotePrefix="0" xfId="0"/>
    <xf numFmtId="166" fontId="0" fillId="5" borderId="1" pivotButton="0" quotePrefix="0" xfId="0"/>
    <xf numFmtId="166" fontId="6" fillId="4" borderId="1" pivotButton="0" quotePrefix="0" xfId="0"/>
    <xf numFmtId="0" fontId="5" fillId="3" borderId="1" applyAlignment="1" pivotButton="0" quotePrefix="0" xfId="0">
      <alignment vertical="top"/>
    </xf>
    <xf numFmtId="164" fontId="0" fillId="5" borderId="1" pivotButton="0" quotePrefix="0" xfId="0"/>
    <xf numFmtId="0" fontId="0" fillId="0" borderId="0" applyAlignment="1" pivotButton="0" quotePrefix="0" xfId="0">
      <alignment vertical="top"/>
    </xf>
    <xf numFmtId="1" fontId="0" fillId="5" borderId="1" pivotButton="0" quotePrefix="0" xfId="0"/>
    <xf numFmtId="167" fontId="0" fillId="0" borderId="1" pivotButton="0" quotePrefix="0" xfId="0"/>
    <xf numFmtId="168" fontId="0" fillId="5" borderId="1" pivotButton="0" quotePrefix="0" xfId="0"/>
    <xf numFmtId="0" fontId="4" fillId="10" borderId="1" pivotButton="0" quotePrefix="0" xfId="0"/>
    <xf numFmtId="168" fontId="4" fillId="5" borderId="1" pivotButton="0" quotePrefix="0" xfId="0"/>
    <xf numFmtId="0" fontId="2" fillId="0" borderId="0" pivotButton="0" quotePrefix="0" xfId="0"/>
    <xf numFmtId="0" fontId="2" fillId="10" borderId="1" pivotButton="0" quotePrefix="0" xfId="0"/>
    <xf numFmtId="0" fontId="2" fillId="0" borderId="0" applyAlignment="1" pivotButton="0" quotePrefix="0" xfId="0">
      <alignment horizontal="right" vertical="top"/>
    </xf>
    <xf numFmtId="166" fontId="2" fillId="5" borderId="1" pivotButton="0" quotePrefix="0" xfId="0"/>
    <xf numFmtId="0" fontId="10" fillId="0" borderId="1" applyAlignment="1" pivotButton="0" quotePrefix="0" xfId="0">
      <alignment vertical="top" wrapText="1"/>
    </xf>
    <xf numFmtId="3" fontId="6" fillId="4" borderId="1" pivotButton="0" quotePrefix="0" xfId="0"/>
    <xf numFmtId="3" fontId="0" fillId="4" borderId="1" pivotButton="0" quotePrefix="0" xfId="0"/>
    <xf numFmtId="3" fontId="4" fillId="5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horizontal="center" vertical="top"/>
    </xf>
    <xf numFmtId="168" fontId="6" fillId="4" borderId="1" pivotButton="0" quotePrefix="0" xfId="0"/>
    <xf numFmtId="168" fontId="0" fillId="4" borderId="1" pivotButton="0" quotePrefix="0" xfId="0"/>
    <xf numFmtId="164" fontId="0" fillId="4" borderId="1" pivotButton="0" quotePrefix="0" xfId="0"/>
    <xf numFmtId="165" fontId="6" fillId="4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6" fillId="0" borderId="1" applyAlignment="1" pivotButton="0" quotePrefix="0" xfId="0">
      <alignment vertical="top" wrapText="1"/>
    </xf>
    <xf numFmtId="9" fontId="6" fillId="5" borderId="1" pivotButton="0" quotePrefix="0" xfId="0"/>
    <xf numFmtId="9" fontId="6" fillId="4" borderId="1" pivotButton="0" quotePrefix="0" xfId="0"/>
    <xf numFmtId="0" fontId="0" fillId="4" borderId="1" applyAlignment="1" pivotButton="0" quotePrefix="0" xfId="0">
      <alignment vertical="top"/>
    </xf>
    <xf numFmtId="9" fontId="0" fillId="5" borderId="1" applyAlignment="1" pivotButton="0" quotePrefix="0" xfId="0">
      <alignment vertical="top"/>
    </xf>
    <xf numFmtId="166" fontId="0" fillId="4" borderId="1" pivotButton="0" quotePrefix="0" xfId="0"/>
    <xf numFmtId="1" fontId="0" fillId="5" borderId="1" applyAlignment="1" pivotButton="0" quotePrefix="0" xfId="0">
      <alignment horizontal="center" vertical="top"/>
    </xf>
    <xf numFmtId="166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" fontId="6" fillId="4" borderId="1" applyAlignment="1" pivotButton="0" quotePrefix="0" xfId="0">
      <alignment horizontal="center" vertical="top"/>
    </xf>
    <xf numFmtId="1" fontId="4" fillId="5" borderId="1" applyAlignment="1" pivotButton="0" quotePrefix="0" xfId="0">
      <alignment horizontal="center" vertical="top"/>
    </xf>
    <xf numFmtId="0" fontId="11" fillId="0" borderId="1" pivotButton="0" quotePrefix="0" xfId="0"/>
    <xf numFmtId="0" fontId="11" fillId="8" borderId="1" pivotButton="0" quotePrefix="0" xfId="0"/>
    <xf numFmtId="0" fontId="10" fillId="8" borderId="1" applyAlignment="1" pivotButton="0" quotePrefix="0" xfId="0">
      <alignment vertical="top" wrapText="1"/>
    </xf>
    <xf numFmtId="0" fontId="11" fillId="7" borderId="1" pivotButton="0" quotePrefix="0" xfId="0"/>
    <xf numFmtId="0" fontId="10" fillId="7" borderId="1" applyAlignment="1" pivotButton="0" quotePrefix="0" xfId="0">
      <alignment vertical="top" wrapText="1"/>
    </xf>
    <xf numFmtId="0" fontId="11" fillId="6" borderId="1" pivotButton="0" quotePrefix="0" xfId="0"/>
    <xf numFmtId="0" fontId="10" fillId="6" borderId="1" applyAlignment="1" pivotButton="0" quotePrefix="0" xfId="0">
      <alignment vertical="top" wrapText="1"/>
    </xf>
    <xf numFmtId="3" fontId="4" fillId="5" borderId="1" applyAlignment="1" pivotButton="0" quotePrefix="0" xfId="0">
      <alignment horizontal="center" vertical="top"/>
    </xf>
    <xf numFmtId="165" fontId="4" fillId="5" borderId="1" applyAlignment="1" pivotButton="0" quotePrefix="0" xfId="0">
      <alignment horizontal="center" vertical="top"/>
    </xf>
    <xf numFmtId="0" fontId="4" fillId="0" borderId="0" pivotButton="0" quotePrefix="0" xfId="0"/>
    <xf numFmtId="0" fontId="4" fillId="0" borderId="1" applyAlignment="1" pivotButton="0" quotePrefix="0" xfId="0">
      <alignment horizontal="center" vertical="top"/>
    </xf>
    <xf numFmtId="165" fontId="6" fillId="4" borderId="1" applyAlignment="1" pivotButton="0" quotePrefix="0" xfId="0">
      <alignment horizontal="center" vertical="top"/>
    </xf>
    <xf numFmtId="1" fontId="6" fillId="5" borderId="1" applyAlignment="1" pivotButton="0" quotePrefix="0" xfId="0">
      <alignment horizontal="center" vertical="top"/>
    </xf>
    <xf numFmtId="3" fontId="0" fillId="5" borderId="1" applyAlignment="1" pivotButton="0" quotePrefix="0" xfId="0">
      <alignment horizontal="center" vertical="top"/>
    </xf>
    <xf numFmtId="165" fontId="0" fillId="4" borderId="1" applyAlignment="1" pivotButton="0" quotePrefix="0" xfId="0">
      <alignment horizontal="center" vertical="top"/>
    </xf>
    <xf numFmtId="169" fontId="3" fillId="2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166" fontId="6" fillId="0" borderId="1" pivotButton="0" quotePrefix="0" xfId="0"/>
    <xf numFmtId="166" fontId="0" fillId="0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0" fontId="12" fillId="0" borderId="0" pivotButton="0" quotePrefix="0" xfId="0"/>
    <xf numFmtId="3" fontId="6" fillId="5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center" vertical="top"/>
    </xf>
    <xf numFmtId="165" fontId="13" fillId="5" borderId="1" applyAlignment="1" pivotButton="0" quotePrefix="0" xfId="0">
      <alignment horizontal="center" vertical="top"/>
    </xf>
    <xf numFmtId="165" fontId="6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65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dxfs count="1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</dxf>
    <dxf>
      <font>
        <b val="1"/>
        <color rgb="001F3864"/>
      </font>
      <fill>
        <patternFill patternType="solid">
          <fgColor rgb="00BDD7EE"/>
        </patternFill>
      </fill>
    </dxf>
    <dxf>
      <font>
        <color rgb="00595959"/>
      </font>
      <fill>
        <patternFill patternType="solid">
          <fgColor rgb="00E7E6E6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0F2FE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4748B"/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60" customWidth="1" min="4" max="4"/>
    <col width="30" customWidth="1" min="5" max="5"/>
  </cols>
  <sheetData>
    <row r="1" ht="23" customHeight="1">
      <c r="A1" s="1" t="inlineStr">
        <is>
          <t>README — what each tab does, how to import into Google Sheets, colour legend and conventions.</t>
        </is>
      </c>
    </row>
    <row r="2" ht="18" customHeight="1">
      <c r="A2" s="2" t="inlineStr">
        <is>
          <t>VSYST COO Workbook · version 1.0 · generated 2026-08-19 · companion to COO-Docs toolkit (T05, T06, T07, T09, T10, T14, T15, T16, T20, T21, T22 and lesson 18).</t>
        </is>
      </c>
    </row>
    <row r="4" ht="32" customHeight="1">
      <c r="A4" s="3" t="inlineStr">
        <is>
          <t>#</t>
        </is>
      </c>
      <c r="B4" s="3" t="inlineStr">
        <is>
          <t>Tab</t>
        </is>
      </c>
      <c r="C4" s="3" t="inlineStr">
        <is>
          <t>What it does</t>
        </is>
      </c>
      <c r="D4" s="3" t="inlineStr">
        <is>
          <t>Key formulas / how to fill</t>
        </is>
      </c>
      <c r="E4" s="3" t="inlineStr">
        <is>
          <t>Suggested owner · cadence</t>
        </is>
      </c>
    </row>
    <row r="5">
      <c r="A5" s="4" t="n">
        <v>1</v>
      </c>
      <c r="B5" s="5" t="inlineStr">
        <is>
          <t>README</t>
        </is>
      </c>
      <c r="C5" s="6" t="inlineStr">
        <is>
          <t>This page: tab guide, Google Sheets import steps, colour legend, conventions.</t>
        </is>
      </c>
      <c r="D5" s="6" t="inlineStr">
        <is>
          <t>Read the colour legend and conventions below before editing any tab.</t>
        </is>
      </c>
      <c r="E5" s="6" t="inlineStr">
        <is>
          <t>COO · on every version bump</t>
        </is>
      </c>
    </row>
    <row r="6">
      <c r="A6" s="4" t="n">
        <v>2</v>
      </c>
      <c r="B6" s="5" t="inlineStr">
        <is>
          <t>Runway &amp; 13-Week Cash</t>
        </is>
      </c>
      <c r="C6" s="6" t="inlineStr">
        <is>
          <t>Monthly runway view (opening cash, gross burn lines, revenue, net burn, runway months, red-line alert) plus a chained 13-week cash forecast with trough and week-of-trough.</t>
        </is>
      </c>
      <c r="D6" s="6" t="inlineStr">
        <is>
          <t>Runway = opening cash ÷ net burn (guarded when net burn ≤ 0). Closing balance W(n) = opening + cash in − cash out; opening W(n+1) = closing W(n). Trough = MIN of closings; week of trough via INDEX/MATCH.</t>
        </is>
      </c>
      <c r="E6" s="6" t="inlineStr">
        <is>
          <t>COO with CEO · weekly (Friday), monthly reset</t>
        </is>
      </c>
    </row>
    <row r="7">
      <c r="A7" s="4" t="n">
        <v>3</v>
      </c>
      <c r="B7" s="5" t="inlineStr">
        <is>
          <t>Budget vs Actual</t>
        </is>
      </c>
      <c r="C7" s="6" t="inlineStr">
        <is>
          <t>Long-format table (month × 7 categories) with budget, actual, variance and variance %, plus summary-by-month (with YTD for closed months) and summary-by-category blocks.</t>
        </is>
      </c>
      <c r="D7" s="6" t="inlineStr">
        <is>
          <t>Variance = Actual − Budget (+ = overspend). Variance % guarded for zero budget. Status flags ±10 %. Keep exactly 7 category rows per month — the summary blocks depend on that structure.</t>
        </is>
      </c>
      <c r="E7" s="6" t="inlineStr">
        <is>
          <t>COO with CA · monthly close</t>
        </is>
      </c>
    </row>
    <row r="8">
      <c r="A8" s="4" t="n">
        <v>4</v>
      </c>
      <c r="B8" s="5" t="inlineStr">
        <is>
          <t>KPI Scorecard</t>
        </is>
      </c>
      <c r="C8" s="6" t="inlineStr">
        <is>
          <t>The weekly scorecard: VSYST v1 KPI-tree rows with owner, source, unit, direction, goal, red line and 13 weekly columns; Last/Prev/Trend/Status computed.</t>
        </is>
      </c>
      <c r="D8" s="6" t="inlineStr">
        <is>
          <t>Last = last filled week (fill weeks left-to-right without gaps). Status: Green if goal met, Red if beyond the red line, else Amber (direction-aware). Cells below goal turn red, at/above goal green.</t>
        </is>
      </c>
      <c r="E8" s="6" t="inlineStr">
        <is>
          <t>COO · Monday 10:00</t>
        </is>
      </c>
    </row>
    <row r="9">
      <c r="A9" s="4" t="n">
        <v>5</v>
      </c>
      <c r="B9" s="5" t="inlineStr">
        <is>
          <t>OKR Tracker</t>
        </is>
      </c>
      <c r="C9" s="6" t="inlineStr">
        <is>
          <t>Quarterly objectives and key results with baseline, target, current, progress %, confidence and status.</t>
        </is>
      </c>
      <c r="D9" s="6" t="inlineStr">
        <is>
          <t>Progress % = (current − baseline) ÷ (target − baseline), capped 0–100 %; works for lower-is-better KRs too.</t>
        </is>
      </c>
      <c r="E9" s="6" t="inlineStr">
        <is>
          <t>CEO + COO · quarterly set, weekly update</t>
        </is>
      </c>
    </row>
    <row r="10">
      <c r="A10" s="4" t="n">
        <v>6</v>
      </c>
      <c r="B10" s="5" t="inlineStr">
        <is>
          <t>Compliance Calendar</t>
        </is>
      </c>
      <c r="C10" s="6" t="inlineStr">
        <is>
          <t>Typical Indian Pvt Ltd obligations (GST, TDS, advance tax, ROC, AGM, PF/ESI, PT, DPDP, insurance, domain) with typical due dates, owner, status and days-to-due.</t>
        </is>
      </c>
      <c r="D10" s="6" t="inlineStr">
        <is>
          <t>Days to due = due date − TODAY() (blank once Filed/Done). Red &lt; 7 days or overdue, amber &lt; 30 days. Every date is 'typical' — VERIFY LIVE with your CA/CS each April and after each filing.</t>
        </is>
      </c>
      <c r="E10" s="6" t="inlineStr">
        <is>
          <t>COO with CA/CS · monthly run + weekly glance</t>
        </is>
      </c>
    </row>
    <row r="11">
      <c r="A11" s="4" t="n">
        <v>7</v>
      </c>
      <c r="B11" s="5" t="inlineStr">
        <is>
          <t>Vendor &amp; Tool Register</t>
        </is>
      </c>
      <c r="C11" s="6" t="inlineStr">
        <is>
          <t>Single list of every vendor/tool (T14 columns) pre-filled with the VSYST stack; total monthly cost and days-to-renewal.</t>
        </is>
      </c>
      <c r="D11" s="6" t="inlineStr">
        <is>
          <t>Days to renewal = renewal date − TODAY(); amber within 60 days, red if past. Total monthly cost = SUM of the cost column.</t>
        </is>
      </c>
      <c r="E11" s="6" t="inlineStr">
        <is>
          <t>COO · quarterly audit, renewals 60 days ahead</t>
        </is>
      </c>
    </row>
    <row r="12">
      <c r="A12" s="4" t="n">
        <v>8</v>
      </c>
      <c r="B12" s="5" t="inlineStr">
        <is>
          <t>Risk Register</t>
        </is>
      </c>
      <c r="C12" s="6" t="inlineStr">
        <is>
          <t>Top-12 startup risks (T15) with likelihood × impact scoring, owner, mitigation, early-warning trigger, review date and status.</t>
        </is>
      </c>
      <c r="D12" s="6" t="inlineStr">
        <is>
          <t>Score = likelihood × impact. Red ≥ 15, amber 8–14, green &lt; 8. Scoring guide on the right.</t>
        </is>
      </c>
      <c r="E12" s="6" t="inlineStr">
        <is>
          <t>COO · quarterly review, monthly glance</t>
        </is>
      </c>
    </row>
    <row r="13">
      <c r="A13" s="4" t="n">
        <v>9</v>
      </c>
      <c r="B13" s="5" t="inlineStr">
        <is>
          <t>RACI</t>
        </is>
      </c>
      <c r="C13" s="6" t="inlineStr">
        <is>
          <t>~30 recurring activities × 6 roles (CEO/CTO, COO, Domain director, Support/Ops, Developer, CA/CS). One A per activity.</t>
        </is>
      </c>
      <c r="D13" s="6" t="inlineStr">
        <is>
          <t>Check column counts the A's per row (COUNTIF) and flags rows without exactly one Accountable.</t>
        </is>
      </c>
      <c r="E13" s="6" t="inlineStr">
        <is>
          <t>COO · review quarterly and on every hire</t>
        </is>
      </c>
    </row>
    <row r="14">
      <c r="A14" s="4" t="n">
        <v>10</v>
      </c>
      <c r="B14" s="5" t="inlineStr">
        <is>
          <t>Hiring Pipeline</t>
        </is>
      </c>
      <c r="C14" s="6" t="inlineStr">
        <is>
          <t>Candidate tracker (T10): role, candidate, source, stage, interviewer, scorecard average, next step and decision; stage counts on the right.</t>
        </is>
      </c>
      <c r="D14" s="6" t="inlineStr">
        <is>
          <t>Days to next step = next-step date − TODAY(). Stage summary uses COUNTIF.</t>
        </is>
      </c>
      <c r="E14" s="6" t="inlineStr">
        <is>
          <t>Hiring manager · weekly</t>
        </is>
      </c>
    </row>
    <row r="15">
      <c r="A15" s="4" t="n">
        <v>11</v>
      </c>
      <c r="B15" s="5" t="inlineStr">
        <is>
          <t>Headcount Plan</t>
        </is>
      </c>
      <c r="C15" s="6" t="inlineStr">
        <is>
          <t>18-month headcount and cost plan (T21): each role's monthly cost lands in the month it starts; monthly totals, cumulative cost and active headcount.</t>
        </is>
      </c>
      <c r="D15" s="6" t="inlineStr">
        <is>
          <t>Month cell = IF(month ≥ start month, monthly cost, 0). Header cells hold the numbers 1–18 displayed as M1…M18. Cumulative row chains month to month.</t>
        </is>
      </c>
      <c r="E15" s="6" t="inlineStr">
        <is>
          <t>COO with CEO · quarterly</t>
        </is>
      </c>
    </row>
    <row r="16">
      <c r="A16" s="4" t="n">
        <v>12</v>
      </c>
      <c r="B16" s="5" t="inlineStr">
        <is>
          <t>Decision Log</t>
        </is>
      </c>
      <c r="C16" s="6" t="inlineStr">
        <is>
          <t>T09 log: date, decision, context, options, decided by, one-way/two-way door, review date, outcome, link.</t>
        </is>
      </c>
      <c r="D16" s="6" t="inlineStr">
        <is>
          <t>Review dates in the past with no outcome recorded are highlighted amber.</t>
        </is>
      </c>
      <c r="E16" s="6" t="inlineStr">
        <is>
          <t>COO (scribe) · every ops meeting</t>
        </is>
      </c>
    </row>
    <row r="17">
      <c r="A17" s="4" t="n">
        <v>13</v>
      </c>
      <c r="B17" s="5" t="inlineStr">
        <is>
          <t>Cadence Calendar</t>
        </is>
      </c>
      <c r="C17" s="6" t="inlineStr">
        <is>
          <t>The operating rhythm from lesson 08: daily → weekly → monthly → quarterly → annual rituals with owner, attendees and artefact.</t>
        </is>
      </c>
      <c r="D17" s="6" t="inlineStr">
        <is>
          <t>No formulas — this is the master list to copy into Google Calendar.</t>
        </is>
      </c>
      <c r="E17" s="6" t="inlineStr">
        <is>
          <t>COO · review quarterly</t>
        </is>
      </c>
    </row>
    <row r="18">
      <c r="A18" s="4" t="n">
        <v>14</v>
      </c>
      <c r="B18" s="5" t="inlineStr">
        <is>
          <t>SOP Index</t>
        </is>
      </c>
      <c r="C18" s="6" t="inlineStr">
        <is>
          <t>Starter list of ~29 SOP ids across ops/people/customer/revenue/eng/finance/compliance with owner, status, last reviewed, next review and link.</t>
        </is>
      </c>
      <c r="D18" s="6" t="inlineStr">
        <is>
          <t>Next review = last reviewed + 180 days; days to review = next review − TODAY() (red if overdue, amber &lt; 30).</t>
        </is>
      </c>
      <c r="E18" s="6" t="inlineStr">
        <is>
          <t>COO · monthly</t>
        </is>
      </c>
    </row>
    <row r="19">
      <c r="A19" s="4" t="n">
        <v>15</v>
      </c>
      <c r="B19" s="5" t="inlineStr">
        <is>
          <t>DoA Matrix</t>
        </is>
      </c>
      <c r="C19" s="6" t="inlineStr">
        <is>
          <t>Delegation-of-authority grid (T22): decision type × threshold × who decides / consulted / informed, with the two-signature rule.</t>
        </is>
      </c>
      <c r="D19" s="6" t="inlineStr">
        <is>
          <t>No formulas. ₹ thresholds are illustrative — set your own and record the review date.</t>
        </is>
      </c>
      <c r="E19" s="6" t="inlineStr">
        <is>
          <t>Board (3 directors) · review half-yearly</t>
        </is>
      </c>
    </row>
    <row r="20">
      <c r="A20" s="4" t="n">
        <v>16</v>
      </c>
      <c r="B20" s="5" t="inlineStr">
        <is>
          <t>Automation Backlog</t>
        </is>
      </c>
      <c r="C20" s="6" t="inlineStr">
        <is>
          <t>Lesson-18 backlog: task, frequency, minutes per run, hours/yr saved, risk, human-in-the-loop, tool, owner, status, build effort and ROI.</t>
        </is>
      </c>
      <c r="D20" s="6" t="inlineStr">
        <is>
          <t>Runs/yr from frequency (daily 250, weekly 52, monthly 12, quarterly 4, yearly 1); hours/yr saved = minutes × runs ÷ 60; ROI = hours saved ÷ build hours.</t>
        </is>
      </c>
      <c r="E20" s="6" t="inlineStr">
        <is>
          <t>COO · monthly grooming</t>
        </is>
      </c>
    </row>
    <row r="22">
      <c r="A22" s="7" t="inlineStr">
        <is>
          <t>How to import into Google Sheets</t>
        </is>
      </c>
      <c r="B22" s="7" t="n"/>
      <c r="C22" s="7" t="n"/>
      <c r="D22" s="7" t="n"/>
      <c r="E22" s="7" t="n"/>
    </row>
    <row r="23" ht="34" customHeight="1">
      <c r="A23" s="8" t="inlineStr">
        <is>
          <t>1. In Google Drive: New → File upload → choose vsyst-coo-workbook.xlsx. Then open it and use File → Save as Google Sheets (or open Sheets → File → Import → Upload → 'Replace spreadsheet' / 'Insert new sheet(s)').</t>
        </is>
      </c>
    </row>
    <row r="24" ht="34" customHeight="1">
      <c r="A24" s="8" t="inlineStr">
        <is>
          <t>2. All formulas use only SUM, IF, AVERAGE, COUNTIF, COUNTA, MIN, MAX, TODAY, INDEX and MATCH — they recalculate in Sheets without changes. Dropdowns, conditional formatting, ₹/%/date formats and frozen panes import too.</t>
        </is>
      </c>
    </row>
    <row r="25" ht="34" customHeight="1">
      <c r="A25" s="8" t="inlineStr">
        <is>
          <t>3. Share the Sheet with the team; give edit rights per tab owner (Data → Protect sheets and ranges). One owner enters numbers; everybody else reads.</t>
        </is>
      </c>
    </row>
    <row r="26" ht="34" customHeight="1">
      <c r="A26" s="8" t="inlineStr">
        <is>
          <t>4. Keep the tab names unchanged (the course and toolkit notes refer to them). If you re-generate a new version of the workbook, copy your data over — do not overwrite formulas.</t>
        </is>
      </c>
    </row>
    <row r="28">
      <c r="A28" s="7" t="inlineStr">
        <is>
          <t>Colour legend</t>
        </is>
      </c>
      <c r="B28" s="7" t="n"/>
      <c r="C28" s="7" t="n"/>
      <c r="D28" s="7" t="n"/>
      <c r="E28" s="7" t="n"/>
    </row>
    <row r="29">
      <c r="B29" s="9" t="inlineStr">
        <is>
          <t>Header</t>
        </is>
      </c>
      <c r="C29" s="6" t="inlineStr">
        <is>
          <t>Bold white text on dark slate — column headers.</t>
        </is>
      </c>
      <c r="D29" s="10" t="n"/>
      <c r="E29" s="11" t="n"/>
    </row>
    <row r="30">
      <c r="B30" s="12" t="inlineStr">
        <is>
          <t>Input cell</t>
        </is>
      </c>
      <c r="C30" s="6" t="inlineStr">
        <is>
          <t>Light yellow — you type here.</t>
        </is>
      </c>
      <c r="D30" s="10" t="n"/>
      <c r="E30" s="11" t="n"/>
    </row>
    <row r="31">
      <c r="B31" s="13" t="inlineStr">
        <is>
          <t>Formula cell</t>
        </is>
      </c>
      <c r="C31" s="6" t="inlineStr">
        <is>
          <t>Light blue — computed; do not overwrite (re-copy the formula if you break it).</t>
        </is>
      </c>
      <c r="D31" s="10" t="n"/>
      <c r="E31" s="11" t="n"/>
    </row>
    <row r="32">
      <c r="B32" s="14" t="inlineStr">
        <is>
          <t>Example / illustrative</t>
        </is>
      </c>
      <c r="C32" s="6" t="inlineStr">
        <is>
          <t>Grey italic — sample rows and illustrative numbers. Replace with real data; the style is only a marker.</t>
        </is>
      </c>
      <c r="D32" s="10" t="n"/>
      <c r="E32" s="11" t="n"/>
    </row>
    <row r="33">
      <c r="B33" s="7" t="inlineStr">
        <is>
          <t>Section / total</t>
        </is>
      </c>
      <c r="C33" s="6" t="inlineStr">
        <is>
          <t>Light slate band = section header or totals row.</t>
        </is>
      </c>
      <c r="D33" s="10" t="n"/>
      <c r="E33" s="11" t="n"/>
    </row>
    <row r="34">
      <c r="B34" s="15" t="inlineStr">
        <is>
          <t>Green</t>
        </is>
      </c>
      <c r="C34" s="6" t="inlineStr">
        <is>
          <t>On/above goal · low risk · ≥ 30 days to due · RACI 'R'.</t>
        </is>
      </c>
      <c r="D34" s="10" t="n"/>
      <c r="E34" s="11" t="n"/>
    </row>
    <row r="35">
      <c r="B35" s="16" t="inlineStr">
        <is>
          <t>Amber</t>
        </is>
      </c>
      <c r="C35" s="6" t="inlineStr">
        <is>
          <t>Between goal and red line · medium risk · &lt; 30 days to due · renewal within 60 days · RACI 'C'.</t>
        </is>
      </c>
      <c r="D35" s="10" t="n"/>
      <c r="E35" s="11" t="n"/>
    </row>
    <row r="36">
      <c r="B36" s="17" t="inlineStr">
        <is>
          <t>Red</t>
        </is>
      </c>
      <c r="C36" s="6" t="inlineStr">
        <is>
          <t>Below goal / beyond red line · high risk (score ≥ 15) · &lt; 7 days to due or overdue · over budget.</t>
        </is>
      </c>
      <c r="D36" s="10" t="n"/>
      <c r="E36" s="11" t="n"/>
    </row>
    <row r="37">
      <c r="B37" s="18" t="inlineStr">
        <is>
          <t>Blue / grey (RACI)</t>
        </is>
      </c>
      <c r="C37" s="6" t="inlineStr">
        <is>
          <t>Blue = Accountable (A or A/R); grey = Informed (I).</t>
        </is>
      </c>
      <c r="D37" s="10" t="n"/>
      <c r="E37" s="11" t="n"/>
    </row>
    <row r="39">
      <c r="A39" s="7" t="inlineStr">
        <is>
          <t>Conventions</t>
        </is>
      </c>
      <c r="B39" s="7" t="n"/>
      <c r="C39" s="7" t="n"/>
      <c r="D39" s="7" t="n"/>
      <c r="E39" s="7" t="n"/>
    </row>
    <row r="40" ht="46" customHeight="1">
      <c r="A40" s="8" t="inlineStr">
        <is>
          <t>• 'VERIFY LIVE' (Compliance Calendar, Vendor register, DoA thresholds): the value is typical/illustrative and must be confirmed with your CA/CS, lawyer or the vendor page before you rely on it. Dates in the Compliance Calendar are typical due dates for FY 2026-27 — confirm each April and after each rule change.</t>
        </is>
      </c>
    </row>
    <row r="41" ht="46" customHeight="1">
      <c r="A41" s="8" t="inlineStr">
        <is>
          <t>• Example rows are illustrative — replace with real data. VSYST facts used: bootstrapped, pre-revenue, 3 directors, Raipur; DZZLO OMS live on both stores; monetisation direction (per-GSTIN subscription) decided 2026-07-29; prices undecided.</t>
        </is>
      </c>
    </row>
    <row r="42" ht="46" customHeight="1">
      <c r="A42" s="8" t="inlineStr">
        <is>
          <t>• One owner per tab. Update cadence is in column E of the tab table above; the KPI Scorecard is filled every Monday by 10:00 (see T05).</t>
        </is>
      </c>
    </row>
    <row r="43" ht="46" customHeight="1">
      <c r="A43" s="8" t="inlineStr">
        <is>
          <t>• Currency is ₹ (Indian format not applied to lakh/crore grouping — Sheets can switch to en-IN locale under File → Settings). Percentages are stored as fractions (0.5 = 50 %). Dates are ISO yyyy-mm-dd.</t>
        </is>
      </c>
    </row>
    <row r="44" ht="46" customHeight="1">
      <c r="A44" s="8" t="inlineStr">
        <is>
          <t>• Structure dependencies: Budget vs Actual needs 7 category rows per month in fixed order; KPI weeks must be filled left-to-right without gaps; Headcount Plan month numbers live in the header cells (value 1–18, shown as M1…M18).</t>
        </is>
      </c>
    </row>
    <row r="45" ht="46" customHeight="1">
      <c r="A45" s="8" t="inlineStr">
        <is>
          <t>• No macros, no external links, no images. Formulas: SUM, IF, AVERAGE, COUNTIF, COUNTA, MIN, MAX, TODAY, INDEX, MATCH only.</t>
        </is>
      </c>
    </row>
    <row r="46" ht="46" customHeight="1">
      <c r="A46" s="8" t="inlineStr">
        <is>
          <t>• Version 1.0, generated 2026-08-19 by build_workbook.py (Python 3 + openpyxl). Change log: 1.0 — first release with 16 tabs.</t>
        </is>
      </c>
    </row>
  </sheetData>
  <mergeCells count="22">
    <mergeCell ref="A24:E24"/>
    <mergeCell ref="C31:E31"/>
    <mergeCell ref="A45:E45"/>
    <mergeCell ref="C36:E36"/>
    <mergeCell ref="A25:E25"/>
    <mergeCell ref="A41:E41"/>
    <mergeCell ref="A46:E46"/>
    <mergeCell ref="C32:E32"/>
    <mergeCell ref="A1:D1"/>
    <mergeCell ref="A26:E26"/>
    <mergeCell ref="C37:E37"/>
    <mergeCell ref="A42:E42"/>
    <mergeCell ref="A23:E23"/>
    <mergeCell ref="C30:E30"/>
    <mergeCell ref="C34:E34"/>
    <mergeCell ref="C33:E33"/>
    <mergeCell ref="A43:E43"/>
    <mergeCell ref="C35:E35"/>
    <mergeCell ref="A2:D2"/>
    <mergeCell ref="C29:E29"/>
    <mergeCell ref="A44:E4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O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23" customHeight="1">
      <c r="A1" s="1" t="inlineStr">
        <is>
          <t>Runway &amp; 13-Week Cash — how many months of cash we have (monthly view) and where the balance dips over the next 13 weeks (weekly view).</t>
        </is>
      </c>
    </row>
    <row r="2" ht="18" customHeight="1">
      <c r="A2" s="2" t="inlineStr">
        <is>
          <t>Example rows (grey italic) are illustrative — replace with real data. Yellow = input, blue = formula (do not overwrite). Enter weekly cash when it actually moves (salary week, AWS bill week).</t>
        </is>
      </c>
    </row>
    <row r="4">
      <c r="A4" s="7" t="inlineStr">
        <is>
          <t>A. Monthly runway view (all amounts ₹ per month)</t>
        </is>
      </c>
      <c r="B4" s="7" t="n"/>
      <c r="C4" s="7" t="n"/>
    </row>
    <row r="5" ht="20" customHeight="1">
      <c r="A5" s="3" t="inlineStr">
        <is>
          <t>Line item</t>
        </is>
      </c>
      <c r="B5" s="3" t="inlineStr">
        <is>
          <t>Monthly ₹</t>
        </is>
      </c>
      <c r="C5" s="3" t="inlineStr">
        <is>
          <t>Notes</t>
        </is>
      </c>
    </row>
    <row r="6">
      <c r="A6" s="19" t="inlineStr">
        <is>
          <t>Opening cash today (bank + FDs)</t>
        </is>
      </c>
      <c r="B6" s="20" t="n">
        <v>3000000</v>
      </c>
      <c r="C6" s="21" t="inlineStr">
        <is>
          <t>Example — replace with today's bank balance</t>
        </is>
      </c>
    </row>
    <row r="7">
      <c r="A7" s="19" t="inlineStr">
        <is>
          <t>Salaries &amp; contractors</t>
        </is>
      </c>
      <c r="B7" s="20" t="n">
        <v>250000</v>
      </c>
      <c r="C7" s="21" t="inlineStr">
        <is>
          <t>Directors' salaries + tester/support + freelancers</t>
        </is>
      </c>
    </row>
    <row r="8">
      <c r="A8" s="19" t="inlineStr">
        <is>
          <t>AWS EC2/SES + MongoDB Atlas</t>
        </is>
      </c>
      <c r="B8" s="20" t="n">
        <v>25000</v>
      </c>
      <c r="C8" s="21" t="inlineStr">
        <is>
          <t>Set AWS/Atlas budget alerts (lesson 14)</t>
        </is>
      </c>
    </row>
    <row r="9">
      <c r="A9" s="19" t="inlineStr">
        <is>
          <t>SaaS / tools (see Vendor &amp; Tool Register)</t>
        </is>
      </c>
      <c r="B9" s="20" t="n">
        <v>15000</v>
      </c>
      <c r="C9" s="21" t="inlineStr">
        <is>
          <t>OneSignal, 2Factor, Google Workspace, Figma…</t>
        </is>
      </c>
    </row>
    <row r="10">
      <c r="A10" s="19" t="inlineStr">
        <is>
          <t>CA / legal / compliance</t>
        </is>
      </c>
      <c r="B10" s="20" t="n">
        <v>15000</v>
      </c>
      <c r="C10" s="21" t="inlineStr">
        <is>
          <t>Monthly retainer + filings; audit fee spread</t>
        </is>
      </c>
    </row>
    <row r="11">
      <c r="A11" s="19" t="inlineStr">
        <is>
          <t>Rent / office</t>
        </is>
      </c>
      <c r="B11" s="20" t="n">
        <v>0</v>
      </c>
      <c r="C11" s="21" t="inlineStr">
        <is>
          <t>Office inside the family petrol pump — ₹0 for now</t>
        </is>
      </c>
    </row>
    <row r="12">
      <c r="A12" s="19" t="inlineStr">
        <is>
          <t>Marketing / travel</t>
        </is>
      </c>
      <c r="B12" s="20" t="n">
        <v>20000</v>
      </c>
      <c r="C12" s="21" t="inlineStr">
        <is>
          <t>Field visits, association meets, printing</t>
        </is>
      </c>
    </row>
    <row r="13">
      <c r="A13" s="19" t="inlineStr">
        <is>
          <t>Other</t>
        </is>
      </c>
      <c r="B13" s="20" t="n">
        <v>10000</v>
      </c>
      <c r="C13" s="21" t="inlineStr">
        <is>
          <t>Contingency</t>
        </is>
      </c>
    </row>
    <row r="14">
      <c r="A14" s="22" t="inlineStr">
        <is>
          <t>Monthly gross burn (sum of lines above)</t>
        </is>
      </c>
      <c r="B14" s="23">
        <f>SUM(B7:B13)</f>
        <v/>
      </c>
      <c r="C14" s="24" t="n"/>
    </row>
    <row r="15">
      <c r="A15" s="19" t="inlineStr">
        <is>
          <t>Monthly revenue (cash collected)</t>
        </is>
      </c>
      <c r="B15" s="20" t="n">
        <v>0</v>
      </c>
      <c r="C15" s="21" t="inlineStr">
        <is>
          <t>Pre-revenue — 0 until DZZLO is priced (decision 2026-07-29: per-GSTIN subscription)</t>
        </is>
      </c>
    </row>
    <row r="16">
      <c r="A16" s="22" t="inlineStr">
        <is>
          <t>Net burn (gross burn − revenue)</t>
        </is>
      </c>
      <c r="B16" s="23">
        <f>B14-B15</f>
        <v/>
      </c>
      <c r="C16" s="24" t="n"/>
    </row>
    <row r="17">
      <c r="A17" s="22" t="inlineStr">
        <is>
          <t>Runway (months) = opening cash ÷ net burn</t>
        </is>
      </c>
      <c r="B17" s="25">
        <f>IF(B16&lt;=0,"Cash-flow positive",B6/B16)</f>
        <v/>
      </c>
      <c r="C17" s="24" t="n"/>
    </row>
    <row r="18">
      <c r="A18" s="19" t="inlineStr">
        <is>
          <t>Red line (months) — alert when runway drops below this</t>
        </is>
      </c>
      <c r="B18" s="26" t="n">
        <v>6</v>
      </c>
      <c r="C18" s="21" t="inlineStr">
        <is>
          <t>Finance course Phase 7 suggests acting at 6 months, panicking at 3</t>
        </is>
      </c>
    </row>
    <row r="19">
      <c r="A19" s="27" t="inlineStr">
        <is>
          <t>Runway status</t>
        </is>
      </c>
      <c r="B19" s="28">
        <f>IF(B17="Cash-flow positive","OK — cash-flow positive",IF(B17&lt;B18,"ALERT: runway below red line","OK"))</f>
        <v/>
      </c>
      <c r="C19" s="29" t="n"/>
    </row>
    <row r="20">
      <c r="A20" s="19" t="inlineStr">
        <is>
          <t>Approx. cash-out date (30-day months)</t>
        </is>
      </c>
      <c r="B20" s="30">
        <f>IF(B17="Cash-flow positive","n/a",TODAY()+B17*30)</f>
        <v/>
      </c>
      <c r="C20" s="21" t="inlineStr">
        <is>
          <t>Recomputed from TODAY() every time the sheet opens</t>
        </is>
      </c>
    </row>
    <row r="22">
      <c r="A22" s="7" t="inlineStr">
        <is>
          <t>B. 13-week cash forecast (₹) — closing balance chains into next week's opening balance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 ht="20" customHeight="1">
      <c r="A23" s="3" t="inlineStr">
        <is>
          <t>Line item</t>
        </is>
      </c>
      <c r="B23" s="3" t="inlineStr">
        <is>
          <t>W1</t>
        </is>
      </c>
      <c r="C23" s="3" t="inlineStr">
        <is>
          <t>W2</t>
        </is>
      </c>
      <c r="D23" s="3" t="inlineStr">
        <is>
          <t>W3</t>
        </is>
      </c>
      <c r="E23" s="3" t="inlineStr">
        <is>
          <t>W4</t>
        </is>
      </c>
      <c r="F23" s="3" t="inlineStr">
        <is>
          <t>W5</t>
        </is>
      </c>
      <c r="G23" s="3" t="inlineStr">
        <is>
          <t>W6</t>
        </is>
      </c>
      <c r="H23" s="3" t="inlineStr">
        <is>
          <t>W7</t>
        </is>
      </c>
      <c r="I23" s="3" t="inlineStr">
        <is>
          <t>W8</t>
        </is>
      </c>
      <c r="J23" s="3" t="inlineStr">
        <is>
          <t>W9</t>
        </is>
      </c>
      <c r="K23" s="3" t="inlineStr">
        <is>
          <t>W10</t>
        </is>
      </c>
      <c r="L23" s="3" t="inlineStr">
        <is>
          <t>W11</t>
        </is>
      </c>
      <c r="M23" s="3" t="inlineStr">
        <is>
          <t>W12</t>
        </is>
      </c>
      <c r="N23" s="3" t="inlineStr">
        <is>
          <t>W13</t>
        </is>
      </c>
      <c r="O23" s="3" t="inlineStr">
        <is>
          <t>13-wk total</t>
        </is>
      </c>
    </row>
    <row r="24">
      <c r="A24" s="19" t="inlineStr">
        <is>
          <t>Week starting (Monday)</t>
        </is>
      </c>
      <c r="B24" s="31" t="n">
        <v>46258</v>
      </c>
      <c r="C24" s="30">
        <f>B24+7</f>
        <v/>
      </c>
      <c r="D24" s="30">
        <f>C24+7</f>
        <v/>
      </c>
      <c r="E24" s="30">
        <f>D24+7</f>
        <v/>
      </c>
      <c r="F24" s="30">
        <f>E24+7</f>
        <v/>
      </c>
      <c r="G24" s="30">
        <f>F24+7</f>
        <v/>
      </c>
      <c r="H24" s="30">
        <f>G24+7</f>
        <v/>
      </c>
      <c r="I24" s="30">
        <f>H24+7</f>
        <v/>
      </c>
      <c r="J24" s="30">
        <f>I24+7</f>
        <v/>
      </c>
      <c r="K24" s="30">
        <f>J24+7</f>
        <v/>
      </c>
      <c r="L24" s="30">
        <f>K24+7</f>
        <v/>
      </c>
      <c r="M24" s="30">
        <f>L24+7</f>
        <v/>
      </c>
      <c r="N24" s="30">
        <f>M24+7</f>
        <v/>
      </c>
      <c r="O24" s="29" t="n"/>
    </row>
    <row r="25">
      <c r="A25" s="27" t="inlineStr">
        <is>
          <t>Opening balance</t>
        </is>
      </c>
      <c r="B25" s="23">
        <f>B6</f>
        <v/>
      </c>
      <c r="C25" s="23">
        <f>B40</f>
        <v/>
      </c>
      <c r="D25" s="23">
        <f>C40</f>
        <v/>
      </c>
      <c r="E25" s="23">
        <f>D40</f>
        <v/>
      </c>
      <c r="F25" s="23">
        <f>E40</f>
        <v/>
      </c>
      <c r="G25" s="23">
        <f>F40</f>
        <v/>
      </c>
      <c r="H25" s="23">
        <f>G40</f>
        <v/>
      </c>
      <c r="I25" s="23">
        <f>H40</f>
        <v/>
      </c>
      <c r="J25" s="23">
        <f>I40</f>
        <v/>
      </c>
      <c r="K25" s="23">
        <f>J40</f>
        <v/>
      </c>
      <c r="L25" s="23">
        <f>K40</f>
        <v/>
      </c>
      <c r="M25" s="23">
        <f>L40</f>
        <v/>
      </c>
      <c r="N25" s="23">
        <f>M40</f>
        <v/>
      </c>
      <c r="O25" s="23">
        <f>B25</f>
        <v/>
      </c>
    </row>
    <row r="26">
      <c r="A26" s="32" t="inlineStr">
        <is>
          <t>Cash in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19" t="inlineStr">
        <is>
          <t>Customer collections (pilot fees / subscriptions once priced)</t>
        </is>
      </c>
      <c r="B27" s="20" t="n">
        <v>0</v>
      </c>
      <c r="C27" s="20" t="n">
        <v>0</v>
      </c>
      <c r="D27" s="20" t="n">
        <v>0</v>
      </c>
      <c r="E27" s="20" t="n">
        <v>0</v>
      </c>
      <c r="F27" s="20" t="n">
        <v>25000</v>
      </c>
      <c r="G27" s="20" t="n">
        <v>0</v>
      </c>
      <c r="H27" s="20" t="n">
        <v>0</v>
      </c>
      <c r="I27" s="20" t="n">
        <v>0</v>
      </c>
      <c r="J27" s="20" t="n">
        <v>25000</v>
      </c>
      <c r="K27" s="20" t="n">
        <v>0</v>
      </c>
      <c r="L27" s="20" t="n">
        <v>0</v>
      </c>
      <c r="M27" s="20" t="n">
        <v>0</v>
      </c>
      <c r="N27" s="20" t="n">
        <v>50000</v>
      </c>
      <c r="O27" s="33">
        <f>SUM(B27:N27)</f>
        <v/>
      </c>
    </row>
    <row r="28">
      <c r="A28" s="19" t="inlineStr">
        <is>
          <t>Other inflows (director loan, grant, interest, GST refund)</t>
        </is>
      </c>
      <c r="B28" s="20" t="n">
        <v>0</v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33">
        <f>SUM(B28:N28)</f>
        <v/>
      </c>
    </row>
    <row r="29">
      <c r="A29" s="22" t="inlineStr">
        <is>
          <t>Total cash in</t>
        </is>
      </c>
      <c r="B29" s="23">
        <f>SUM(B27:B28)</f>
        <v/>
      </c>
      <c r="C29" s="23">
        <f>SUM(C27:C28)</f>
        <v/>
      </c>
      <c r="D29" s="23">
        <f>SUM(D27:D28)</f>
        <v/>
      </c>
      <c r="E29" s="23">
        <f>SUM(E27:E28)</f>
        <v/>
      </c>
      <c r="F29" s="23">
        <f>SUM(F27:F28)</f>
        <v/>
      </c>
      <c r="G29" s="23">
        <f>SUM(G27:G28)</f>
        <v/>
      </c>
      <c r="H29" s="23">
        <f>SUM(H27:H28)</f>
        <v/>
      </c>
      <c r="I29" s="23">
        <f>SUM(I27:I28)</f>
        <v/>
      </c>
      <c r="J29" s="23">
        <f>SUM(J27:J28)</f>
        <v/>
      </c>
      <c r="K29" s="23">
        <f>SUM(K27:K28)</f>
        <v/>
      </c>
      <c r="L29" s="23">
        <f>SUM(L27:L28)</f>
        <v/>
      </c>
      <c r="M29" s="23">
        <f>SUM(M27:M28)</f>
        <v/>
      </c>
      <c r="N29" s="23">
        <f>SUM(N27:N28)</f>
        <v/>
      </c>
      <c r="O29" s="23">
        <f>SUM(B29:N29)</f>
        <v/>
      </c>
    </row>
    <row r="30">
      <c r="A30" s="32" t="inlineStr">
        <is>
          <t>Cash out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19" t="inlineStr">
        <is>
          <t>Salaries &amp; contractors</t>
        </is>
      </c>
      <c r="B31" s="20" t="n">
        <v>0</v>
      </c>
      <c r="C31" s="20" t="n">
        <v>250000</v>
      </c>
      <c r="D31" s="20" t="n">
        <v>0</v>
      </c>
      <c r="E31" s="20" t="n">
        <v>0</v>
      </c>
      <c r="F31" s="20" t="n">
        <v>0</v>
      </c>
      <c r="G31" s="20" t="n">
        <v>250000</v>
      </c>
      <c r="H31" s="20" t="n">
        <v>0</v>
      </c>
      <c r="I31" s="20" t="n">
        <v>0</v>
      </c>
      <c r="J31" s="20" t="n">
        <v>0</v>
      </c>
      <c r="K31" s="20" t="n">
        <v>250000</v>
      </c>
      <c r="L31" s="20" t="n">
        <v>0</v>
      </c>
      <c r="M31" s="20" t="n">
        <v>0</v>
      </c>
      <c r="N31" s="20" t="n">
        <v>0</v>
      </c>
      <c r="O31" s="33">
        <f>SUM(B31:N31)</f>
        <v/>
      </c>
    </row>
    <row r="32">
      <c r="A32" s="19" t="inlineStr">
        <is>
          <t>AWS EC2/SES + MongoDB Atlas</t>
        </is>
      </c>
      <c r="B32" s="20" t="n">
        <v>25000</v>
      </c>
      <c r="C32" s="20" t="n">
        <v>0</v>
      </c>
      <c r="D32" s="20" t="n">
        <v>0</v>
      </c>
      <c r="E32" s="20" t="n">
        <v>0</v>
      </c>
      <c r="F32" s="20" t="n">
        <v>25000</v>
      </c>
      <c r="G32" s="20" t="n">
        <v>0</v>
      </c>
      <c r="H32" s="20" t="n">
        <v>0</v>
      </c>
      <c r="I32" s="20" t="n">
        <v>0</v>
      </c>
      <c r="J32" s="20" t="n">
        <v>25000</v>
      </c>
      <c r="K32" s="20" t="n">
        <v>0</v>
      </c>
      <c r="L32" s="20" t="n">
        <v>0</v>
      </c>
      <c r="M32" s="20" t="n">
        <v>0</v>
      </c>
      <c r="N32" s="20" t="n">
        <v>25000</v>
      </c>
      <c r="O32" s="33">
        <f>SUM(B32:N32)</f>
        <v/>
      </c>
    </row>
    <row r="33">
      <c r="A33" s="19" t="inlineStr">
        <is>
          <t>SaaS / tools</t>
        </is>
      </c>
      <c r="B33" s="20" t="n">
        <v>15000</v>
      </c>
      <c r="C33" s="20" t="n">
        <v>0</v>
      </c>
      <c r="D33" s="20" t="n">
        <v>0</v>
      </c>
      <c r="E33" s="20" t="n">
        <v>0</v>
      </c>
      <c r="F33" s="20" t="n">
        <v>15000</v>
      </c>
      <c r="G33" s="20" t="n">
        <v>0</v>
      </c>
      <c r="H33" s="20" t="n">
        <v>0</v>
      </c>
      <c r="I33" s="20" t="n">
        <v>0</v>
      </c>
      <c r="J33" s="20" t="n">
        <v>15000</v>
      </c>
      <c r="K33" s="20" t="n">
        <v>0</v>
      </c>
      <c r="L33" s="20" t="n">
        <v>0</v>
      </c>
      <c r="M33" s="20" t="n">
        <v>0</v>
      </c>
      <c r="N33" s="20" t="n">
        <v>15000</v>
      </c>
      <c r="O33" s="33">
        <f>SUM(B33:N33)</f>
        <v/>
      </c>
    </row>
    <row r="34">
      <c r="A34" s="19" t="inlineStr">
        <is>
          <t>CA / legal / compliance</t>
        </is>
      </c>
      <c r="B34" s="20" t="n">
        <v>0</v>
      </c>
      <c r="C34" s="20" t="n">
        <v>0</v>
      </c>
      <c r="D34" s="20" t="n">
        <v>15000</v>
      </c>
      <c r="E34" s="20" t="n">
        <v>0</v>
      </c>
      <c r="F34" s="20" t="n">
        <v>0</v>
      </c>
      <c r="G34" s="20" t="n">
        <v>0</v>
      </c>
      <c r="H34" s="20" t="n">
        <v>15000</v>
      </c>
      <c r="I34" s="20" t="n">
        <v>0</v>
      </c>
      <c r="J34" s="20" t="n">
        <v>0</v>
      </c>
      <c r="K34" s="20" t="n">
        <v>0</v>
      </c>
      <c r="L34" s="20" t="n">
        <v>15000</v>
      </c>
      <c r="M34" s="20" t="n">
        <v>0</v>
      </c>
      <c r="N34" s="20" t="n">
        <v>0</v>
      </c>
      <c r="O34" s="33">
        <f>SUM(B34:N34)</f>
        <v/>
      </c>
    </row>
    <row r="35">
      <c r="A35" s="19" t="inlineStr">
        <is>
          <t>Rent / office</t>
        </is>
      </c>
      <c r="B35" s="20" t="n">
        <v>0</v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33">
        <f>SUM(B35:N35)</f>
        <v/>
      </c>
    </row>
    <row r="36">
      <c r="A36" s="19" t="inlineStr">
        <is>
          <t>Marketing / travel</t>
        </is>
      </c>
      <c r="B36" s="20" t="n">
        <v>5000</v>
      </c>
      <c r="C36" s="20" t="n">
        <v>5000</v>
      </c>
      <c r="D36" s="20" t="n">
        <v>5000</v>
      </c>
      <c r="E36" s="20" t="n">
        <v>5000</v>
      </c>
      <c r="F36" s="20" t="n">
        <v>5000</v>
      </c>
      <c r="G36" s="20" t="n">
        <v>5000</v>
      </c>
      <c r="H36" s="20" t="n">
        <v>5000</v>
      </c>
      <c r="I36" s="20" t="n">
        <v>5000</v>
      </c>
      <c r="J36" s="20" t="n">
        <v>5000</v>
      </c>
      <c r="K36" s="20" t="n">
        <v>5000</v>
      </c>
      <c r="L36" s="20" t="n">
        <v>5000</v>
      </c>
      <c r="M36" s="20" t="n">
        <v>5000</v>
      </c>
      <c r="N36" s="20" t="n">
        <v>5000</v>
      </c>
      <c r="O36" s="33">
        <f>SUM(B36:N36)</f>
        <v/>
      </c>
    </row>
    <row r="37">
      <c r="A37" s="19" t="inlineStr">
        <is>
          <t>Other</t>
        </is>
      </c>
      <c r="B37" s="20" t="n">
        <v>2500</v>
      </c>
      <c r="C37" s="20" t="n">
        <v>2500</v>
      </c>
      <c r="D37" s="20" t="n">
        <v>2500</v>
      </c>
      <c r="E37" s="20" t="n">
        <v>2500</v>
      </c>
      <c r="F37" s="20" t="n">
        <v>2500</v>
      </c>
      <c r="G37" s="20" t="n">
        <v>2500</v>
      </c>
      <c r="H37" s="20" t="n">
        <v>2500</v>
      </c>
      <c r="I37" s="20" t="n">
        <v>2500</v>
      </c>
      <c r="J37" s="20" t="n">
        <v>2500</v>
      </c>
      <c r="K37" s="20" t="n">
        <v>2500</v>
      </c>
      <c r="L37" s="20" t="n">
        <v>2500</v>
      </c>
      <c r="M37" s="20" t="n">
        <v>2500</v>
      </c>
      <c r="N37" s="20" t="n">
        <v>2500</v>
      </c>
      <c r="O37" s="33">
        <f>SUM(B37:N37)</f>
        <v/>
      </c>
    </row>
    <row r="38">
      <c r="A38" s="22" t="inlineStr">
        <is>
          <t>Total cash out</t>
        </is>
      </c>
      <c r="B38" s="23">
        <f>SUM(B31:B37)</f>
        <v/>
      </c>
      <c r="C38" s="23">
        <f>SUM(C31:C37)</f>
        <v/>
      </c>
      <c r="D38" s="23">
        <f>SUM(D31:D37)</f>
        <v/>
      </c>
      <c r="E38" s="23">
        <f>SUM(E31:E37)</f>
        <v/>
      </c>
      <c r="F38" s="23">
        <f>SUM(F31:F37)</f>
        <v/>
      </c>
      <c r="G38" s="23">
        <f>SUM(G31:G37)</f>
        <v/>
      </c>
      <c r="H38" s="23">
        <f>SUM(H31:H37)</f>
        <v/>
      </c>
      <c r="I38" s="23">
        <f>SUM(I31:I37)</f>
        <v/>
      </c>
      <c r="J38" s="23">
        <f>SUM(J31:J37)</f>
        <v/>
      </c>
      <c r="K38" s="23">
        <f>SUM(K31:K37)</f>
        <v/>
      </c>
      <c r="L38" s="23">
        <f>SUM(L31:L37)</f>
        <v/>
      </c>
      <c r="M38" s="23">
        <f>SUM(M31:M37)</f>
        <v/>
      </c>
      <c r="N38" s="23">
        <f>SUM(N31:N37)</f>
        <v/>
      </c>
      <c r="O38" s="23">
        <f>SUM(B38:N38)</f>
        <v/>
      </c>
    </row>
    <row r="39">
      <c r="A39" s="22" t="inlineStr">
        <is>
          <t>Net cash flow (in − out)</t>
        </is>
      </c>
      <c r="B39" s="23">
        <f>B29-B38</f>
        <v/>
      </c>
      <c r="C39" s="23">
        <f>C29-C38</f>
        <v/>
      </c>
      <c r="D39" s="23">
        <f>D29-D38</f>
        <v/>
      </c>
      <c r="E39" s="23">
        <f>E29-E38</f>
        <v/>
      </c>
      <c r="F39" s="23">
        <f>F29-F38</f>
        <v/>
      </c>
      <c r="G39" s="23">
        <f>G29-G38</f>
        <v/>
      </c>
      <c r="H39" s="23">
        <f>H29-H38</f>
        <v/>
      </c>
      <c r="I39" s="23">
        <f>I29-I38</f>
        <v/>
      </c>
      <c r="J39" s="23">
        <f>J29-J38</f>
        <v/>
      </c>
      <c r="K39" s="23">
        <f>K29-K38</f>
        <v/>
      </c>
      <c r="L39" s="23">
        <f>L29-L38</f>
        <v/>
      </c>
      <c r="M39" s="23">
        <f>M29-M38</f>
        <v/>
      </c>
      <c r="N39" s="23">
        <f>N29-N38</f>
        <v/>
      </c>
      <c r="O39" s="23">
        <f>SUM(B39:N39)</f>
        <v/>
      </c>
    </row>
    <row r="40">
      <c r="A40" s="22" t="inlineStr">
        <is>
          <t>Closing balance</t>
        </is>
      </c>
      <c r="B40" s="23">
        <f>B25+B39</f>
        <v/>
      </c>
      <c r="C40" s="23">
        <f>C25+C39</f>
        <v/>
      </c>
      <c r="D40" s="23">
        <f>D25+D39</f>
        <v/>
      </c>
      <c r="E40" s="23">
        <f>E25+E39</f>
        <v/>
      </c>
      <c r="F40" s="23">
        <f>F25+F39</f>
        <v/>
      </c>
      <c r="G40" s="23">
        <f>G25+G39</f>
        <v/>
      </c>
      <c r="H40" s="23">
        <f>H25+H39</f>
        <v/>
      </c>
      <c r="I40" s="23">
        <f>I25+I39</f>
        <v/>
      </c>
      <c r="J40" s="23">
        <f>J25+J39</f>
        <v/>
      </c>
      <c r="K40" s="23">
        <f>K25+K39</f>
        <v/>
      </c>
      <c r="L40" s="23">
        <f>L25+L39</f>
        <v/>
      </c>
      <c r="M40" s="23">
        <f>M25+M39</f>
        <v/>
      </c>
      <c r="N40" s="23">
        <f>N25+N39</f>
        <v/>
      </c>
      <c r="O40" s="23">
        <f>N40</f>
        <v/>
      </c>
    </row>
    <row r="41">
      <c r="A41" s="34" t="n"/>
    </row>
    <row r="42">
      <c r="A42" s="27" t="inlineStr">
        <is>
          <t>Trough — lowest closing balance in the 13 weeks</t>
        </is>
      </c>
      <c r="B42" s="23">
        <f>MIN(B40:N40)</f>
        <v/>
      </c>
    </row>
    <row r="43">
      <c r="A43" s="19" t="inlineStr">
        <is>
          <t>Week of trough</t>
        </is>
      </c>
      <c r="B43" s="13">
        <f>INDEX(B23:N23,1,MATCH(B42,B40:N40,0))</f>
        <v/>
      </c>
      <c r="C43" s="10" t="n"/>
      <c r="D43" s="10" t="n"/>
      <c r="E43" s="11" t="n"/>
    </row>
    <row r="44">
      <c r="A44" s="19" t="inlineStr">
        <is>
          <t>Week starting (trough)</t>
        </is>
      </c>
      <c r="B44" s="30">
        <f>INDEX(B24:N24,1,MATCH(B42,B40:N40,0))</f>
        <v/>
      </c>
      <c r="C44" s="10" t="n"/>
      <c r="D44" s="10" t="n"/>
      <c r="E44" s="11" t="n"/>
    </row>
    <row r="45">
      <c r="A45" s="19" t="inlineStr">
        <is>
          <t>Cash red line (₹) — minimum balance we must hold</t>
        </is>
      </c>
      <c r="B45" s="20" t="n">
        <v>1000000</v>
      </c>
    </row>
    <row r="46">
      <c r="A46" s="27" t="inlineStr">
        <is>
          <t>Forecast status</t>
        </is>
      </c>
      <c r="B46" s="28">
        <f>IF(B42&lt;B45,"ALERT: balance dips below red line in "&amp;B43,"OK")</f>
        <v/>
      </c>
      <c r="C46" s="10" t="n"/>
      <c r="D46" s="10" t="n"/>
      <c r="E46" s="11" t="n"/>
    </row>
    <row r="47">
      <c r="A47" s="19" t="inlineStr">
        <is>
          <t>Weeks with closing balance below red line</t>
        </is>
      </c>
      <c r="B47" s="35">
        <f>COUNTIF(B40:N40,"&lt;"&amp;B45)</f>
        <v/>
      </c>
    </row>
  </sheetData>
  <mergeCells count="5">
    <mergeCell ref="B46:E46"/>
    <mergeCell ref="B43:E43"/>
    <mergeCell ref="B44:E44"/>
    <mergeCell ref="A2:K2"/>
    <mergeCell ref="A1:K1"/>
  </mergeCells>
  <conditionalFormatting sqref="B19">
    <cfRule type="expression" priority="1" dxfId="0">
      <formula>IF(B19="OK",FALSE,IF(B19="OK — cash-flow positive",FALSE,TRUE))</formula>
    </cfRule>
    <cfRule type="expression" priority="2" dxfId="1">
      <formula>IF(B19="OK",TRUE,B19="OK — cash-flow positive")</formula>
    </cfRule>
  </conditionalFormatting>
  <conditionalFormatting sqref="B17">
    <cfRule type="expression" priority="3" dxfId="0">
      <formula>IF(B17="Cash-flow positive",FALSE,B17&lt;B18)</formula>
    </cfRule>
  </conditionalFormatting>
  <conditionalFormatting sqref="B40:N40">
    <cfRule type="expression" priority="4" dxfId="0">
      <formula>B40&lt;$B$45</formula>
    </cfRule>
  </conditionalFormatting>
  <conditionalFormatting sqref="B46">
    <cfRule type="expression" priority="5" dxfId="0">
      <formula>B46&lt;&gt;"OK"</formula>
    </cfRule>
    <cfRule type="expression" priority="6" dxfId="1">
      <formula>B46="OK"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P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1" customWidth="1" min="6" max="6"/>
    <col width="14" customWidth="1" min="7" max="7"/>
    <col width="36" customWidth="1" min="8" max="8"/>
    <col width="3" customWidth="1" min="9" max="9"/>
    <col width="24" customWidth="1" min="10" max="10"/>
    <col width="14" customWidth="1" min="11" max="11"/>
    <col width="14" customWidth="1" min="12" max="12"/>
    <col width="16" customWidth="1" min="13" max="13"/>
    <col width="11" customWidth="1" min="14" max="14"/>
    <col width="16" customWidth="1" min="15" max="15"/>
    <col width="14" customWidth="1" min="16" max="16"/>
  </cols>
  <sheetData>
    <row r="1" ht="23" customHeight="1">
      <c r="A1" s="1" t="inlineStr">
        <is>
          <t>Budget vs Actual — monthly spend by category against budget, with variance, variance % and status; summaries by month and by category on the right.</t>
        </is>
      </c>
    </row>
    <row r="2" ht="18" customHeight="1">
      <c r="A2" s="2" t="inlineStr">
        <is>
          <t>Budget/actual figures (grey italic) are illustrative — replace with real data. Keep 7 category rows per month in this order; the summary blocks depend on it. Variance = Actual − Budget (+ = overspend).</t>
        </is>
      </c>
    </row>
    <row r="4" ht="32" customHeight="1">
      <c r="A4" s="3" t="inlineStr">
        <is>
          <t>Month</t>
        </is>
      </c>
      <c r="B4" s="3" t="inlineStr">
        <is>
          <t>Category</t>
        </is>
      </c>
      <c r="C4" s="3" t="inlineStr">
        <is>
          <t>Budget (₹)</t>
        </is>
      </c>
      <c r="D4" s="3" t="inlineStr">
        <is>
          <t>Actual (₹)</t>
        </is>
      </c>
      <c r="E4" s="3" t="inlineStr">
        <is>
          <t>Variance (₹) = Actual − Budget</t>
        </is>
      </c>
      <c r="F4" s="3" t="inlineStr">
        <is>
          <t>Variance %</t>
        </is>
      </c>
      <c r="G4" s="3" t="inlineStr">
        <is>
          <t>Status</t>
        </is>
      </c>
      <c r="H4" s="3" t="inlineStr">
        <is>
          <t>Commentary (why, action)</t>
        </is>
      </c>
      <c r="J4" s="3" t="inlineStr">
        <is>
          <t>Summary by month</t>
        </is>
      </c>
      <c r="K4" s="3" t="inlineStr">
        <is>
          <t>Budget (₹)</t>
        </is>
      </c>
      <c r="L4" s="3" t="inlineStr">
        <is>
          <t>Actual (₹)</t>
        </is>
      </c>
      <c r="M4" s="3" t="inlineStr">
        <is>
          <t>Variance (₹)</t>
        </is>
      </c>
      <c r="N4" s="3" t="inlineStr">
        <is>
          <t>Variance %</t>
        </is>
      </c>
      <c r="O4" s="3" t="inlineStr">
        <is>
          <t>Budget of closed months (₹)</t>
        </is>
      </c>
      <c r="P4" s="3" t="inlineStr">
        <is>
          <t>Status</t>
        </is>
      </c>
    </row>
    <row r="5">
      <c r="A5" s="36" t="n">
        <v>46113</v>
      </c>
      <c r="B5" s="29" t="inlineStr">
        <is>
          <t>People</t>
        </is>
      </c>
      <c r="C5" s="20" t="n">
        <v>250000</v>
      </c>
      <c r="D5" s="20" t="n">
        <v>248000</v>
      </c>
      <c r="E5" s="33">
        <f>IF(D5="","",D5-C5)</f>
        <v/>
      </c>
      <c r="F5" s="37">
        <f>IF(E5="","",IF(C5=0,"",E5/C5))</f>
        <v/>
      </c>
      <c r="G5" s="13">
        <f>IF(D5="","",IF(F5="","",IF(F5&gt;0.1,"Over budget",IF(F5&lt;-0.1,"Under budget","On track"))))</f>
        <v/>
      </c>
      <c r="H5" s="6" t="n"/>
      <c r="J5" s="36" t="n">
        <v>46113</v>
      </c>
      <c r="K5" s="33">
        <f>SUM(C5:C11)</f>
        <v/>
      </c>
      <c r="L5" s="33">
        <f>SUM(D5:D11)</f>
        <v/>
      </c>
      <c r="M5" s="33">
        <f>IF(L5=0,"",L5-K5)</f>
        <v/>
      </c>
      <c r="N5" s="37">
        <f>IF(M5="","",IF(K5=0,"",M5/K5))</f>
        <v/>
      </c>
      <c r="O5" s="33">
        <f>IF(L5=0,0,K5)</f>
        <v/>
      </c>
      <c r="P5" s="13">
        <f>IF(L5=0,"",IF(N5="","",IF(N5&gt;0.1,"Over budget",IF(N5&lt;-0.1,"Under budget","On track"))))</f>
        <v/>
      </c>
    </row>
    <row r="6">
      <c r="A6" s="36" t="n">
        <v>46113</v>
      </c>
      <c r="B6" s="29" t="inlineStr">
        <is>
          <t>Cloud / infra</t>
        </is>
      </c>
      <c r="C6" s="20" t="n">
        <v>25000</v>
      </c>
      <c r="D6" s="20" t="n">
        <v>23800</v>
      </c>
      <c r="E6" s="33">
        <f>IF(D6="","",D6-C6)</f>
        <v/>
      </c>
      <c r="F6" s="37">
        <f>IF(E6="","",IF(C6=0,"",E6/C6))</f>
        <v/>
      </c>
      <c r="G6" s="13">
        <f>IF(D6="","",IF(F6="","",IF(F6&gt;0.1,"Over budget",IF(F6&lt;-0.1,"Under budget","On track"))))</f>
        <v/>
      </c>
      <c r="H6" s="6" t="n"/>
      <c r="J6" s="36" t="n">
        <v>46143</v>
      </c>
      <c r="K6" s="33">
        <f>SUM(C12:C18)</f>
        <v/>
      </c>
      <c r="L6" s="33">
        <f>SUM(D12:D18)</f>
        <v/>
      </c>
      <c r="M6" s="33">
        <f>IF(L6=0,"",L6-K6)</f>
        <v/>
      </c>
      <c r="N6" s="37">
        <f>IF(M6="","",IF(K6=0,"",M6/K6))</f>
        <v/>
      </c>
      <c r="O6" s="33">
        <f>IF(L6=0,0,K6)</f>
        <v/>
      </c>
      <c r="P6" s="13">
        <f>IF(L6=0,"",IF(N6="","",IF(N6&gt;0.1,"Over budget",IF(N6&lt;-0.1,"Under budget","On track"))))</f>
        <v/>
      </c>
    </row>
    <row r="7">
      <c r="A7" s="36" t="n">
        <v>46113</v>
      </c>
      <c r="B7" s="29" t="inlineStr">
        <is>
          <t>SaaS / tools</t>
        </is>
      </c>
      <c r="C7" s="20" t="n">
        <v>15000</v>
      </c>
      <c r="D7" s="20" t="n">
        <v>14200</v>
      </c>
      <c r="E7" s="33">
        <f>IF(D7="","",D7-C7)</f>
        <v/>
      </c>
      <c r="F7" s="37">
        <f>IF(E7="","",IF(C7=0,"",E7/C7))</f>
        <v/>
      </c>
      <c r="G7" s="13">
        <f>IF(D7="","",IF(F7="","",IF(F7&gt;0.1,"Over budget",IF(F7&lt;-0.1,"Under budget","On track"))))</f>
        <v/>
      </c>
      <c r="H7" s="6" t="n"/>
      <c r="J7" s="36" t="n">
        <v>46174</v>
      </c>
      <c r="K7" s="33">
        <f>SUM(C19:C25)</f>
        <v/>
      </c>
      <c r="L7" s="33">
        <f>SUM(D19:D25)</f>
        <v/>
      </c>
      <c r="M7" s="33">
        <f>IF(L7=0,"",L7-K7)</f>
        <v/>
      </c>
      <c r="N7" s="37">
        <f>IF(M7="","",IF(K7=0,"",M7/K7))</f>
        <v/>
      </c>
      <c r="O7" s="33">
        <f>IF(L7=0,0,K7)</f>
        <v/>
      </c>
      <c r="P7" s="13">
        <f>IF(L7=0,"",IF(N7="","",IF(N7&gt;0.1,"Over budget",IF(N7&lt;-0.1,"Under budget","On track"))))</f>
        <v/>
      </c>
    </row>
    <row r="8">
      <c r="A8" s="36" t="n">
        <v>46113</v>
      </c>
      <c r="B8" s="29" t="inlineStr">
        <is>
          <t>Sales &amp; marketing</t>
        </is>
      </c>
      <c r="C8" s="20" t="n">
        <v>20000</v>
      </c>
      <c r="D8" s="20" t="n">
        <v>12000</v>
      </c>
      <c r="E8" s="33">
        <f>IF(D8="","",D8-C8)</f>
        <v/>
      </c>
      <c r="F8" s="37">
        <f>IF(E8="","",IF(C8=0,"",E8/C8))</f>
        <v/>
      </c>
      <c r="G8" s="13">
        <f>IF(D8="","",IF(F8="","",IF(F8&gt;0.1,"Over budget",IF(F8&lt;-0.1,"Under budget","On track"))))</f>
        <v/>
      </c>
      <c r="H8" s="6" t="n"/>
      <c r="J8" s="36" t="n">
        <v>46204</v>
      </c>
      <c r="K8" s="33">
        <f>SUM(C26:C32)</f>
        <v/>
      </c>
      <c r="L8" s="33">
        <f>SUM(D26:D32)</f>
        <v/>
      </c>
      <c r="M8" s="33">
        <f>IF(L8=0,"",L8-K8)</f>
        <v/>
      </c>
      <c r="N8" s="37">
        <f>IF(M8="","",IF(K8=0,"",M8/K8))</f>
        <v/>
      </c>
      <c r="O8" s="33">
        <f>IF(L8=0,0,K8)</f>
        <v/>
      </c>
      <c r="P8" s="13">
        <f>IF(L8=0,"",IF(N8="","",IF(N8&gt;0.1,"Over budget",IF(N8&lt;-0.1,"Under budget","On track"))))</f>
        <v/>
      </c>
    </row>
    <row r="9">
      <c r="A9" s="36" t="n">
        <v>46113</v>
      </c>
      <c r="B9" s="29" t="inlineStr">
        <is>
          <t>Legal / compliance / CA</t>
        </is>
      </c>
      <c r="C9" s="20" t="n">
        <v>15000</v>
      </c>
      <c r="D9" s="20" t="n">
        <v>15000</v>
      </c>
      <c r="E9" s="33">
        <f>IF(D9="","",D9-C9)</f>
        <v/>
      </c>
      <c r="F9" s="37">
        <f>IF(E9="","",IF(C9=0,"",E9/C9))</f>
        <v/>
      </c>
      <c r="G9" s="13">
        <f>IF(D9="","",IF(F9="","",IF(F9&gt;0.1,"Over budget",IF(F9&lt;-0.1,"Under budget","On track"))))</f>
        <v/>
      </c>
      <c r="H9" s="6" t="n"/>
      <c r="J9" s="36" t="n">
        <v>46235</v>
      </c>
      <c r="K9" s="33">
        <f>SUM(C33:C39)</f>
        <v/>
      </c>
      <c r="L9" s="33">
        <f>SUM(D33:D39)</f>
        <v/>
      </c>
      <c r="M9" s="33">
        <f>IF(L9=0,"",L9-K9)</f>
        <v/>
      </c>
      <c r="N9" s="37">
        <f>IF(M9="","",IF(K9=0,"",M9/K9))</f>
        <v/>
      </c>
      <c r="O9" s="33">
        <f>IF(L9=0,0,K9)</f>
        <v/>
      </c>
      <c r="P9" s="13">
        <f>IF(L9=0,"",IF(N9="","",IF(N9&gt;0.1,"Over budget",IF(N9&lt;-0.1,"Under budget","On track"))))</f>
        <v/>
      </c>
    </row>
    <row r="10">
      <c r="A10" s="36" t="n">
        <v>46113</v>
      </c>
      <c r="B10" s="29" t="inlineStr">
        <is>
          <t>Office / admin</t>
        </is>
      </c>
      <c r="C10" s="20" t="n">
        <v>5000</v>
      </c>
      <c r="D10" s="20" t="n">
        <v>4100</v>
      </c>
      <c r="E10" s="33">
        <f>IF(D10="","",D10-C10)</f>
        <v/>
      </c>
      <c r="F10" s="37">
        <f>IF(E10="","",IF(C10=0,"",E10/C10))</f>
        <v/>
      </c>
      <c r="G10" s="13">
        <f>IF(D10="","",IF(F10="","",IF(F10&gt;0.1,"Over budget",IF(F10&lt;-0.1,"Under budget","On track"))))</f>
        <v/>
      </c>
      <c r="H10" s="6" t="n"/>
      <c r="J10" s="36" t="n">
        <v>46266</v>
      </c>
      <c r="K10" s="33">
        <f>SUM(C40:C46)</f>
        <v/>
      </c>
      <c r="L10" s="33">
        <f>SUM(D40:D46)</f>
        <v/>
      </c>
      <c r="M10" s="33">
        <f>IF(L10=0,"",L10-K10)</f>
        <v/>
      </c>
      <c r="N10" s="37">
        <f>IF(M10="","",IF(K10=0,"",M10/K10))</f>
        <v/>
      </c>
      <c r="O10" s="33">
        <f>IF(L10=0,0,K10)</f>
        <v/>
      </c>
      <c r="P10" s="13">
        <f>IF(L10=0,"",IF(N10="","",IF(N10&gt;0.1,"Over budget",IF(N10&lt;-0.1,"Under budget","On track"))))</f>
        <v/>
      </c>
    </row>
    <row r="11">
      <c r="A11" s="36" t="n">
        <v>46113</v>
      </c>
      <c r="B11" s="29" t="inlineStr">
        <is>
          <t>Other</t>
        </is>
      </c>
      <c r="C11" s="20" t="n">
        <v>10000</v>
      </c>
      <c r="D11" s="20" t="n">
        <v>8000</v>
      </c>
      <c r="E11" s="33">
        <f>IF(D11="","",D11-C11)</f>
        <v/>
      </c>
      <c r="F11" s="37">
        <f>IF(E11="","",IF(C11=0,"",E11/C11))</f>
        <v/>
      </c>
      <c r="G11" s="13">
        <f>IF(D11="","",IF(F11="","",IF(F11&gt;0.1,"Over budget",IF(F11&lt;-0.1,"Under budget","On track"))))</f>
        <v/>
      </c>
      <c r="H11" s="6" t="n"/>
      <c r="J11" s="36" t="n">
        <v>46296</v>
      </c>
      <c r="K11" s="33">
        <f>SUM(C47:C53)</f>
        <v/>
      </c>
      <c r="L11" s="33">
        <f>SUM(D47:D53)</f>
        <v/>
      </c>
      <c r="M11" s="33">
        <f>IF(L11=0,"",L11-K11)</f>
        <v/>
      </c>
      <c r="N11" s="37">
        <f>IF(M11="","",IF(K11=0,"",M11/K11))</f>
        <v/>
      </c>
      <c r="O11" s="33">
        <f>IF(L11=0,0,K11)</f>
        <v/>
      </c>
      <c r="P11" s="13">
        <f>IF(L11=0,"",IF(N11="","",IF(N11&gt;0.1,"Over budget",IF(N11&lt;-0.1,"Under budget","On track"))))</f>
        <v/>
      </c>
    </row>
    <row r="12">
      <c r="A12" s="36" t="n">
        <v>46143</v>
      </c>
      <c r="B12" s="29" t="inlineStr">
        <is>
          <t>People</t>
        </is>
      </c>
      <c r="C12" s="20" t="n">
        <v>250000</v>
      </c>
      <c r="D12" s="20" t="n">
        <v>251500</v>
      </c>
      <c r="E12" s="33">
        <f>IF(D12="","",D12-C12)</f>
        <v/>
      </c>
      <c r="F12" s="37">
        <f>IF(E12="","",IF(C12=0,"",E12/C12))</f>
        <v/>
      </c>
      <c r="G12" s="13">
        <f>IF(D12="","",IF(F12="","",IF(F12&gt;0.1,"Over budget",IF(F12&lt;-0.1,"Under budget","On track"))))</f>
        <v/>
      </c>
      <c r="H12" s="6" t="n"/>
      <c r="J12" s="36" t="n">
        <v>46327</v>
      </c>
      <c r="K12" s="33">
        <f>SUM(C54:C60)</f>
        <v/>
      </c>
      <c r="L12" s="33">
        <f>SUM(D54:D60)</f>
        <v/>
      </c>
      <c r="M12" s="33">
        <f>IF(L12=0,"",L12-K12)</f>
        <v/>
      </c>
      <c r="N12" s="37">
        <f>IF(M12="","",IF(K12=0,"",M12/K12))</f>
        <v/>
      </c>
      <c r="O12" s="33">
        <f>IF(L12=0,0,K12)</f>
        <v/>
      </c>
      <c r="P12" s="13">
        <f>IF(L12=0,"",IF(N12="","",IF(N12&gt;0.1,"Over budget",IF(N12&lt;-0.1,"Under budget","On track"))))</f>
        <v/>
      </c>
    </row>
    <row r="13">
      <c r="A13" s="36" t="n">
        <v>46143</v>
      </c>
      <c r="B13" s="29" t="inlineStr">
        <is>
          <t>Cloud / infra</t>
        </is>
      </c>
      <c r="C13" s="20" t="n">
        <v>25000</v>
      </c>
      <c r="D13" s="20" t="n">
        <v>26900</v>
      </c>
      <c r="E13" s="33">
        <f>IF(D13="","",D13-C13)</f>
        <v/>
      </c>
      <c r="F13" s="37">
        <f>IF(E13="","",IF(C13=0,"",E13/C13))</f>
        <v/>
      </c>
      <c r="G13" s="13">
        <f>IF(D13="","",IF(F13="","",IF(F13&gt;0.1,"Over budget",IF(F13&lt;-0.1,"Under budget","On track"))))</f>
        <v/>
      </c>
      <c r="H13" s="6" t="n"/>
      <c r="J13" s="36" t="n">
        <v>46357</v>
      </c>
      <c r="K13" s="33">
        <f>SUM(C61:C67)</f>
        <v/>
      </c>
      <c r="L13" s="33">
        <f>SUM(D61:D67)</f>
        <v/>
      </c>
      <c r="M13" s="33">
        <f>IF(L13=0,"",L13-K13)</f>
        <v/>
      </c>
      <c r="N13" s="37">
        <f>IF(M13="","",IF(K13=0,"",M13/K13))</f>
        <v/>
      </c>
      <c r="O13" s="33">
        <f>IF(L13=0,0,K13)</f>
        <v/>
      </c>
      <c r="P13" s="13">
        <f>IF(L13=0,"",IF(N13="","",IF(N13&gt;0.1,"Over budget",IF(N13&lt;-0.1,"Under budget","On track"))))</f>
        <v/>
      </c>
    </row>
    <row r="14">
      <c r="A14" s="36" t="n">
        <v>46143</v>
      </c>
      <c r="B14" s="29" t="inlineStr">
        <is>
          <t>SaaS / tools</t>
        </is>
      </c>
      <c r="C14" s="20" t="n">
        <v>15000</v>
      </c>
      <c r="D14" s="20" t="n">
        <v>14200</v>
      </c>
      <c r="E14" s="33">
        <f>IF(D14="","",D14-C14)</f>
        <v/>
      </c>
      <c r="F14" s="37">
        <f>IF(E14="","",IF(C14=0,"",E14/C14))</f>
        <v/>
      </c>
      <c r="G14" s="13">
        <f>IF(D14="","",IF(F14="","",IF(F14&gt;0.1,"Over budget",IF(F14&lt;-0.1,"Under budget","On track"))))</f>
        <v/>
      </c>
      <c r="H14" s="6" t="n"/>
      <c r="J14" s="36" t="n">
        <v>46388</v>
      </c>
      <c r="K14" s="33">
        <f>SUM(C68:C74)</f>
        <v/>
      </c>
      <c r="L14" s="33">
        <f>SUM(D68:D74)</f>
        <v/>
      </c>
      <c r="M14" s="33">
        <f>IF(L14=0,"",L14-K14)</f>
        <v/>
      </c>
      <c r="N14" s="37">
        <f>IF(M14="","",IF(K14=0,"",M14/K14))</f>
        <v/>
      </c>
      <c r="O14" s="33">
        <f>IF(L14=0,0,K14)</f>
        <v/>
      </c>
      <c r="P14" s="13">
        <f>IF(L14=0,"",IF(N14="","",IF(N14&gt;0.1,"Over budget",IF(N14&lt;-0.1,"Under budget","On track"))))</f>
        <v/>
      </c>
    </row>
    <row r="15">
      <c r="A15" s="36" t="n">
        <v>46143</v>
      </c>
      <c r="B15" s="29" t="inlineStr">
        <is>
          <t>Sales &amp; marketing</t>
        </is>
      </c>
      <c r="C15" s="20" t="n">
        <v>20000</v>
      </c>
      <c r="D15" s="20" t="n">
        <v>26500</v>
      </c>
      <c r="E15" s="33">
        <f>IF(D15="","",D15-C15)</f>
        <v/>
      </c>
      <c r="F15" s="37">
        <f>IF(E15="","",IF(C15=0,"",E15/C15))</f>
        <v/>
      </c>
      <c r="G15" s="13">
        <f>IF(D15="","",IF(F15="","",IF(F15&gt;0.1,"Over budget",IF(F15&lt;-0.1,"Under budget","On track"))))</f>
        <v/>
      </c>
      <c r="H15" s="6" t="n"/>
      <c r="J15" s="36" t="n">
        <v>46419</v>
      </c>
      <c r="K15" s="33">
        <f>SUM(C75:C81)</f>
        <v/>
      </c>
      <c r="L15" s="33">
        <f>SUM(D75:D81)</f>
        <v/>
      </c>
      <c r="M15" s="33">
        <f>IF(L15=0,"",L15-K15)</f>
        <v/>
      </c>
      <c r="N15" s="37">
        <f>IF(M15="","",IF(K15=0,"",M15/K15))</f>
        <v/>
      </c>
      <c r="O15" s="33">
        <f>IF(L15=0,0,K15)</f>
        <v/>
      </c>
      <c r="P15" s="13">
        <f>IF(L15=0,"",IF(N15="","",IF(N15&gt;0.1,"Over budget",IF(N15&lt;-0.1,"Under budget","On track"))))</f>
        <v/>
      </c>
    </row>
    <row r="16">
      <c r="A16" s="36" t="n">
        <v>46143</v>
      </c>
      <c r="B16" s="29" t="inlineStr">
        <is>
          <t>Legal / compliance / CA</t>
        </is>
      </c>
      <c r="C16" s="20" t="n">
        <v>15000</v>
      </c>
      <c r="D16" s="20" t="n">
        <v>15000</v>
      </c>
      <c r="E16" s="33">
        <f>IF(D16="","",D16-C16)</f>
        <v/>
      </c>
      <c r="F16" s="37">
        <f>IF(E16="","",IF(C16=0,"",E16/C16))</f>
        <v/>
      </c>
      <c r="G16" s="13">
        <f>IF(D16="","",IF(F16="","",IF(F16&gt;0.1,"Over budget",IF(F16&lt;-0.1,"Under budget","On track"))))</f>
        <v/>
      </c>
      <c r="H16" s="6" t="n"/>
      <c r="J16" s="36" t="n">
        <v>46447</v>
      </c>
      <c r="K16" s="33">
        <f>SUM(C82:C88)</f>
        <v/>
      </c>
      <c r="L16" s="33">
        <f>SUM(D82:D88)</f>
        <v/>
      </c>
      <c r="M16" s="33">
        <f>IF(L16=0,"",L16-K16)</f>
        <v/>
      </c>
      <c r="N16" s="37">
        <f>IF(M16="","",IF(K16=0,"",M16/K16))</f>
        <v/>
      </c>
      <c r="O16" s="33">
        <f>IF(L16=0,0,K16)</f>
        <v/>
      </c>
      <c r="P16" s="13">
        <f>IF(L16=0,"",IF(N16="","",IF(N16&gt;0.1,"Over budget",IF(N16&lt;-0.1,"Under budget","On track"))))</f>
        <v/>
      </c>
    </row>
    <row r="17">
      <c r="A17" s="36" t="n">
        <v>46143</v>
      </c>
      <c r="B17" s="29" t="inlineStr">
        <is>
          <t>Office / admin</t>
        </is>
      </c>
      <c r="C17" s="20" t="n">
        <v>5000</v>
      </c>
      <c r="D17" s="20" t="n">
        <v>5600</v>
      </c>
      <c r="E17" s="33">
        <f>IF(D17="","",D17-C17)</f>
        <v/>
      </c>
      <c r="F17" s="37">
        <f>IF(E17="","",IF(C17=0,"",E17/C17))</f>
        <v/>
      </c>
      <c r="G17" s="13">
        <f>IF(D17="","",IF(F17="","",IF(F17&gt;0.1,"Over budget",IF(F17&lt;-0.1,"Under budget","On track"))))</f>
        <v/>
      </c>
      <c r="H17" s="6" t="n"/>
      <c r="J17" s="38" t="inlineStr">
        <is>
          <t>FY total (budget)</t>
        </is>
      </c>
      <c r="K17" s="23">
        <f>SUM(K5:K16)</f>
        <v/>
      </c>
      <c r="L17" s="23">
        <f>SUM(L5:L16)</f>
        <v/>
      </c>
      <c r="M17" s="24" t="n"/>
      <c r="N17" s="24" t="n"/>
      <c r="O17" s="23">
        <f>SUM(O5:O16)</f>
        <v/>
      </c>
      <c r="P17" s="24" t="n"/>
    </row>
    <row r="18">
      <c r="A18" s="36" t="n">
        <v>46143</v>
      </c>
      <c r="B18" s="29" t="inlineStr">
        <is>
          <t>Other</t>
        </is>
      </c>
      <c r="C18" s="20" t="n">
        <v>10000</v>
      </c>
      <c r="D18" s="20" t="n">
        <v>2500</v>
      </c>
      <c r="E18" s="33">
        <f>IF(D18="","",D18-C18)</f>
        <v/>
      </c>
      <c r="F18" s="37">
        <f>IF(E18="","",IF(C18=0,"",E18/C18))</f>
        <v/>
      </c>
      <c r="G18" s="13">
        <f>IF(D18="","",IF(F18="","",IF(F18&gt;0.1,"Over budget",IF(F18&lt;-0.1,"Under budget","On track"))))</f>
        <v/>
      </c>
      <c r="H18" s="6" t="n"/>
      <c r="J18" s="38" t="inlineStr">
        <is>
          <t>YTD (closed months only)</t>
        </is>
      </c>
      <c r="K18" s="23">
        <f>O17</f>
        <v/>
      </c>
      <c r="L18" s="23">
        <f>L17</f>
        <v/>
      </c>
      <c r="M18" s="23">
        <f>L18-K18</f>
        <v/>
      </c>
      <c r="N18" s="39">
        <f>IF(K18=0,"",M18/K18)</f>
        <v/>
      </c>
      <c r="O18" s="24" t="n"/>
      <c r="P18" s="28">
        <f>IF(K18=0,"",IF(N18&gt;0.1,"Over budget",IF(N18&lt;-0.1,"Under budget","On track")))</f>
        <v/>
      </c>
    </row>
    <row r="19">
      <c r="A19" s="36" t="n">
        <v>46174</v>
      </c>
      <c r="B19" s="29" t="inlineStr">
        <is>
          <t>People</t>
        </is>
      </c>
      <c r="C19" s="20" t="n">
        <v>250000</v>
      </c>
      <c r="D19" s="20" t="n">
        <v>250000</v>
      </c>
      <c r="E19" s="33">
        <f>IF(D19="","",D19-C19)</f>
        <v/>
      </c>
      <c r="F19" s="37">
        <f>IF(E19="","",IF(C19=0,"",E19/C19))</f>
        <v/>
      </c>
      <c r="G19" s="13">
        <f>IF(D19="","",IF(F19="","",IF(F19&gt;0.1,"Over budget",IF(F19&lt;-0.1,"Under budget","On track"))))</f>
        <v/>
      </c>
      <c r="H19" s="6" t="n"/>
    </row>
    <row r="20">
      <c r="A20" s="36" t="n">
        <v>46174</v>
      </c>
      <c r="B20" s="29" t="inlineStr">
        <is>
          <t>Cloud / infra</t>
        </is>
      </c>
      <c r="C20" s="20" t="n">
        <v>25000</v>
      </c>
      <c r="D20" s="20" t="n">
        <v>31200</v>
      </c>
      <c r="E20" s="33">
        <f>IF(D20="","",D20-C20)</f>
        <v/>
      </c>
      <c r="F20" s="37">
        <f>IF(E20="","",IF(C20=0,"",E20/C20))</f>
        <v/>
      </c>
      <c r="G20" s="13">
        <f>IF(D20="","",IF(F20="","",IF(F20&gt;0.1,"Over budget",IF(F20&lt;-0.1,"Under budget","On track"))))</f>
        <v/>
      </c>
      <c r="H20" s="6" t="n"/>
    </row>
    <row r="21" ht="32" customHeight="1">
      <c r="A21" s="36" t="n">
        <v>46174</v>
      </c>
      <c r="B21" s="29" t="inlineStr">
        <is>
          <t>SaaS / tools</t>
        </is>
      </c>
      <c r="C21" s="20" t="n">
        <v>15000</v>
      </c>
      <c r="D21" s="20" t="n">
        <v>17800</v>
      </c>
      <c r="E21" s="33">
        <f>IF(D21="","",D21-C21)</f>
        <v/>
      </c>
      <c r="F21" s="37">
        <f>IF(E21="","",IF(C21=0,"",E21/C21))</f>
        <v/>
      </c>
      <c r="G21" s="13">
        <f>IF(D21="","",IF(F21="","",IF(F21&gt;0.1,"Over budget",IF(F21&lt;-0.1,"Under budget","On track"))))</f>
        <v/>
      </c>
      <c r="H21" s="6" t="n"/>
      <c r="J21" s="3" t="inlineStr">
        <is>
          <t>Summary by category (FY)</t>
        </is>
      </c>
      <c r="K21" s="3" t="inlineStr">
        <is>
          <t>Budget (₹)</t>
        </is>
      </c>
      <c r="L21" s="3" t="inlineStr">
        <is>
          <t>Actual to date (₹)</t>
        </is>
      </c>
      <c r="M21" s="3" t="inlineStr">
        <is>
          <t>Variance (₹)</t>
        </is>
      </c>
      <c r="N21" s="3" t="inlineStr">
        <is>
          <t>Variance %</t>
        </is>
      </c>
    </row>
    <row r="22">
      <c r="A22" s="36" t="n">
        <v>46174</v>
      </c>
      <c r="B22" s="29" t="inlineStr">
        <is>
          <t>Sales &amp; marketing</t>
        </is>
      </c>
      <c r="C22" s="20" t="n">
        <v>20000</v>
      </c>
      <c r="D22" s="20" t="n">
        <v>18000</v>
      </c>
      <c r="E22" s="33">
        <f>IF(D22="","",D22-C22)</f>
        <v/>
      </c>
      <c r="F22" s="37">
        <f>IF(E22="","",IF(C22=0,"",E22/C22))</f>
        <v/>
      </c>
      <c r="G22" s="13">
        <f>IF(D22="","",IF(F22="","",IF(F22&gt;0.1,"Over budget",IF(F22&lt;-0.1,"Under budget","On track"))))</f>
        <v/>
      </c>
      <c r="H22" s="6" t="n"/>
      <c r="J22" s="29" t="inlineStr">
        <is>
          <t>People</t>
        </is>
      </c>
      <c r="K22" s="33">
        <f>SUM(C5,C12,C19,C26,C33,C40,C47,C54,C61,C68,C75,C82)</f>
        <v/>
      </c>
      <c r="L22" s="33">
        <f>SUM(D5,D12,D19,D26,D33,D40,D47,D54,D61,D68,D75,D82)</f>
        <v/>
      </c>
      <c r="M22" s="33">
        <f>L22-K22</f>
        <v/>
      </c>
      <c r="N22" s="37">
        <f>IF(K22=0,"",M22/K22)</f>
        <v/>
      </c>
    </row>
    <row r="23">
      <c r="A23" s="36" t="n">
        <v>46174</v>
      </c>
      <c r="B23" s="29" t="inlineStr">
        <is>
          <t>Legal / compliance / CA</t>
        </is>
      </c>
      <c r="C23" s="20" t="n">
        <v>15000</v>
      </c>
      <c r="D23" s="20" t="n">
        <v>42000</v>
      </c>
      <c r="E23" s="33">
        <f>IF(D23="","",D23-C23)</f>
        <v/>
      </c>
      <c r="F23" s="37">
        <f>IF(E23="","",IF(C23=0,"",E23/C23))</f>
        <v/>
      </c>
      <c r="G23" s="13">
        <f>IF(D23="","",IF(F23="","",IF(F23&gt;0.1,"Over budget",IF(F23&lt;-0.1,"Under budget","On track"))))</f>
        <v/>
      </c>
      <c r="H23" s="6" t="n"/>
      <c r="J23" s="29" t="inlineStr">
        <is>
          <t>Cloud / infra</t>
        </is>
      </c>
      <c r="K23" s="33">
        <f>SUM(C6,C13,C20,C27,C34,C41,C48,C55,C62,C69,C76,C83)</f>
        <v/>
      </c>
      <c r="L23" s="33">
        <f>SUM(D6,D13,D20,D27,D34,D41,D48,D55,D62,D69,D76,D83)</f>
        <v/>
      </c>
      <c r="M23" s="33">
        <f>L23-K23</f>
        <v/>
      </c>
      <c r="N23" s="37">
        <f>IF(K23=0,"",M23/K23)</f>
        <v/>
      </c>
    </row>
    <row r="24">
      <c r="A24" s="36" t="n">
        <v>46174</v>
      </c>
      <c r="B24" s="29" t="inlineStr">
        <is>
          <t>Office / admin</t>
        </is>
      </c>
      <c r="C24" s="20" t="n">
        <v>5000</v>
      </c>
      <c r="D24" s="20" t="n">
        <v>3900</v>
      </c>
      <c r="E24" s="33">
        <f>IF(D24="","",D24-C24)</f>
        <v/>
      </c>
      <c r="F24" s="37">
        <f>IF(E24="","",IF(C24=0,"",E24/C24))</f>
        <v/>
      </c>
      <c r="G24" s="13">
        <f>IF(D24="","",IF(F24="","",IF(F24&gt;0.1,"Over budget",IF(F24&lt;-0.1,"Under budget","On track"))))</f>
        <v/>
      </c>
      <c r="H24" s="6" t="n"/>
      <c r="J24" s="29" t="inlineStr">
        <is>
          <t>SaaS / tools</t>
        </is>
      </c>
      <c r="K24" s="33">
        <f>SUM(C7,C14,C21,C28,C35,C42,C49,C56,C63,C70,C77,C84)</f>
        <v/>
      </c>
      <c r="L24" s="33">
        <f>SUM(D7,D14,D21,D28,D35,D42,D49,D56,D63,D70,D77,D84)</f>
        <v/>
      </c>
      <c r="M24" s="33">
        <f>L24-K24</f>
        <v/>
      </c>
      <c r="N24" s="37">
        <f>IF(K24=0,"",M24/K24)</f>
        <v/>
      </c>
    </row>
    <row r="25">
      <c r="A25" s="36" t="n">
        <v>46174</v>
      </c>
      <c r="B25" s="29" t="inlineStr">
        <is>
          <t>Other</t>
        </is>
      </c>
      <c r="C25" s="20" t="n">
        <v>10000</v>
      </c>
      <c r="D25" s="20" t="n">
        <v>12000</v>
      </c>
      <c r="E25" s="33">
        <f>IF(D25="","",D25-C25)</f>
        <v/>
      </c>
      <c r="F25" s="37">
        <f>IF(E25="","",IF(C25=0,"",E25/C25))</f>
        <v/>
      </c>
      <c r="G25" s="13">
        <f>IF(D25="","",IF(F25="","",IF(F25&gt;0.1,"Over budget",IF(F25&lt;-0.1,"Under budget","On track"))))</f>
        <v/>
      </c>
      <c r="H25" s="6" t="n"/>
      <c r="J25" s="29" t="inlineStr">
        <is>
          <t>Sales &amp; marketing</t>
        </is>
      </c>
      <c r="K25" s="33">
        <f>SUM(C8,C15,C22,C29,C36,C43,C50,C57,C64,C71,C78,C85)</f>
        <v/>
      </c>
      <c r="L25" s="33">
        <f>SUM(D8,D15,D22,D29,D36,D43,D50,D57,D64,D71,D78,D85)</f>
        <v/>
      </c>
      <c r="M25" s="33">
        <f>L25-K25</f>
        <v/>
      </c>
      <c r="N25" s="37">
        <f>IF(K25=0,"",M25/K25)</f>
        <v/>
      </c>
    </row>
    <row r="26">
      <c r="A26" s="36" t="n">
        <v>46204</v>
      </c>
      <c r="B26" s="29" t="inlineStr">
        <is>
          <t>People</t>
        </is>
      </c>
      <c r="C26" s="20" t="n">
        <v>250000</v>
      </c>
      <c r="D26" s="20" t="n">
        <v>262000</v>
      </c>
      <c r="E26" s="33">
        <f>IF(D26="","",D26-C26)</f>
        <v/>
      </c>
      <c r="F26" s="37">
        <f>IF(E26="","",IF(C26=0,"",E26/C26))</f>
        <v/>
      </c>
      <c r="G26" s="13">
        <f>IF(D26="","",IF(F26="","",IF(F26&gt;0.1,"Over budget",IF(F26&lt;-0.1,"Under budget","On track"))))</f>
        <v/>
      </c>
      <c r="H26" s="6" t="n"/>
      <c r="J26" s="29" t="inlineStr">
        <is>
          <t>Legal / compliance / CA</t>
        </is>
      </c>
      <c r="K26" s="33">
        <f>SUM(C9,C16,C23,C30,C37,C44,C51,C58,C65,C72,C79,C86)</f>
        <v/>
      </c>
      <c r="L26" s="33">
        <f>SUM(D9,D16,D23,D30,D37,D44,D51,D58,D65,D72,D79,D86)</f>
        <v/>
      </c>
      <c r="M26" s="33">
        <f>L26-K26</f>
        <v/>
      </c>
      <c r="N26" s="37">
        <f>IF(K26=0,"",M26/K26)</f>
        <v/>
      </c>
    </row>
    <row r="27">
      <c r="A27" s="36" t="n">
        <v>46204</v>
      </c>
      <c r="B27" s="29" t="inlineStr">
        <is>
          <t>Cloud / infra</t>
        </is>
      </c>
      <c r="C27" s="20" t="n">
        <v>25000</v>
      </c>
      <c r="D27" s="20" t="n">
        <v>28400</v>
      </c>
      <c r="E27" s="33">
        <f>IF(D27="","",D27-C27)</f>
        <v/>
      </c>
      <c r="F27" s="37">
        <f>IF(E27="","",IF(C27=0,"",E27/C27))</f>
        <v/>
      </c>
      <c r="G27" s="13">
        <f>IF(D27="","",IF(F27="","",IF(F27&gt;0.1,"Over budget",IF(F27&lt;-0.1,"Under budget","On track"))))</f>
        <v/>
      </c>
      <c r="H27" s="6" t="n"/>
      <c r="J27" s="29" t="inlineStr">
        <is>
          <t>Office / admin</t>
        </is>
      </c>
      <c r="K27" s="33">
        <f>SUM(C10,C17,C24,C31,C38,C45,C52,C59,C66,C73,C80,C87)</f>
        <v/>
      </c>
      <c r="L27" s="33">
        <f>SUM(D10,D17,D24,D31,D38,D45,D52,D59,D66,D73,D80,D87)</f>
        <v/>
      </c>
      <c r="M27" s="33">
        <f>L27-K27</f>
        <v/>
      </c>
      <c r="N27" s="37">
        <f>IF(K27=0,"",M27/K27)</f>
        <v/>
      </c>
    </row>
    <row r="28">
      <c r="A28" s="36" t="n">
        <v>46204</v>
      </c>
      <c r="B28" s="29" t="inlineStr">
        <is>
          <t>SaaS / tools</t>
        </is>
      </c>
      <c r="C28" s="20" t="n">
        <v>15000</v>
      </c>
      <c r="D28" s="20" t="n">
        <v>15100</v>
      </c>
      <c r="E28" s="33">
        <f>IF(D28="","",D28-C28)</f>
        <v/>
      </c>
      <c r="F28" s="37">
        <f>IF(E28="","",IF(C28=0,"",E28/C28))</f>
        <v/>
      </c>
      <c r="G28" s="13">
        <f>IF(D28="","",IF(F28="","",IF(F28&gt;0.1,"Over budget",IF(F28&lt;-0.1,"Under budget","On track"))))</f>
        <v/>
      </c>
      <c r="H28" s="6" t="n"/>
      <c r="J28" s="29" t="inlineStr">
        <is>
          <t>Other</t>
        </is>
      </c>
      <c r="K28" s="33">
        <f>SUM(C11,C18,C25,C32,C39,C46,C53,C60,C67,C74,C81,C88)</f>
        <v/>
      </c>
      <c r="L28" s="33">
        <f>SUM(D11,D18,D25,D32,D39,D46,D53,D60,D67,D74,D81,D88)</f>
        <v/>
      </c>
      <c r="M28" s="33">
        <f>L28-K28</f>
        <v/>
      </c>
      <c r="N28" s="37">
        <f>IF(K28=0,"",M28/K28)</f>
        <v/>
      </c>
    </row>
    <row r="29">
      <c r="A29" s="36" t="n">
        <v>46204</v>
      </c>
      <c r="B29" s="29" t="inlineStr">
        <is>
          <t>Sales &amp; marketing</t>
        </is>
      </c>
      <c r="C29" s="20" t="n">
        <v>20000</v>
      </c>
      <c r="D29" s="20" t="n">
        <v>9500</v>
      </c>
      <c r="E29" s="33">
        <f>IF(D29="","",D29-C29)</f>
        <v/>
      </c>
      <c r="F29" s="37">
        <f>IF(E29="","",IF(C29=0,"",E29/C29))</f>
        <v/>
      </c>
      <c r="G29" s="13">
        <f>IF(D29="","",IF(F29="","",IF(F29&gt;0.1,"Over budget",IF(F29&lt;-0.1,"Under budget","On track"))))</f>
        <v/>
      </c>
      <c r="H29" s="6" t="n"/>
      <c r="J29" s="38" t="inlineStr">
        <is>
          <t>Total</t>
        </is>
      </c>
      <c r="K29" s="23">
        <f>SUM(K22:K28)</f>
        <v/>
      </c>
      <c r="L29" s="23">
        <f>SUM(L22:L28)</f>
        <v/>
      </c>
      <c r="M29" s="23">
        <f>L29-K29</f>
        <v/>
      </c>
      <c r="N29" s="39">
        <f>IF(K29=0,"",M29/K29)</f>
        <v/>
      </c>
    </row>
    <row r="30">
      <c r="A30" s="36" t="n">
        <v>46204</v>
      </c>
      <c r="B30" s="29" t="inlineStr">
        <is>
          <t>Legal / compliance / CA</t>
        </is>
      </c>
      <c r="C30" s="20" t="n">
        <v>15000</v>
      </c>
      <c r="D30" s="20" t="n">
        <v>15000</v>
      </c>
      <c r="E30" s="33">
        <f>IF(D30="","",D30-C30)</f>
        <v/>
      </c>
      <c r="F30" s="37">
        <f>IF(E30="","",IF(C30=0,"",E30/C30))</f>
        <v/>
      </c>
      <c r="G30" s="13">
        <f>IF(D30="","",IF(F30="","",IF(F30&gt;0.1,"Over budget",IF(F30&lt;-0.1,"Under budget","On track"))))</f>
        <v/>
      </c>
      <c r="H30" s="6" t="n"/>
    </row>
    <row r="31">
      <c r="A31" s="36" t="n">
        <v>46204</v>
      </c>
      <c r="B31" s="29" t="inlineStr">
        <is>
          <t>Office / admin</t>
        </is>
      </c>
      <c r="C31" s="20" t="n">
        <v>5000</v>
      </c>
      <c r="D31" s="20" t="n">
        <v>4800</v>
      </c>
      <c r="E31" s="33">
        <f>IF(D31="","",D31-C31)</f>
        <v/>
      </c>
      <c r="F31" s="37">
        <f>IF(E31="","",IF(C31=0,"",E31/C31))</f>
        <v/>
      </c>
      <c r="G31" s="13">
        <f>IF(D31="","",IF(F31="","",IF(F31&gt;0.1,"Over budget",IF(F31&lt;-0.1,"Under budget","On track"))))</f>
        <v/>
      </c>
      <c r="H31" s="6" t="n"/>
      <c r="J31" s="40" t="inlineStr">
        <is>
          <t>Category 'Actual to date' vs full-year budget is not like-for-like — read it with the YTD line above (or divide the FY budget by 12 × closed months).</t>
        </is>
      </c>
    </row>
    <row r="32">
      <c r="A32" s="36" t="n">
        <v>46204</v>
      </c>
      <c r="B32" s="29" t="inlineStr">
        <is>
          <t>Other</t>
        </is>
      </c>
      <c r="C32" s="20" t="n">
        <v>10000</v>
      </c>
      <c r="D32" s="20" t="n">
        <v>6000</v>
      </c>
      <c r="E32" s="33">
        <f>IF(D32="","",D32-C32)</f>
        <v/>
      </c>
      <c r="F32" s="37">
        <f>IF(E32="","",IF(C32=0,"",E32/C32))</f>
        <v/>
      </c>
      <c r="G32" s="13">
        <f>IF(D32="","",IF(F32="","",IF(F32&gt;0.1,"Over budget",IF(F32&lt;-0.1,"Under budget","On track"))))</f>
        <v/>
      </c>
      <c r="H32" s="6" t="n"/>
    </row>
    <row r="33">
      <c r="A33" s="36" t="n">
        <v>46235</v>
      </c>
      <c r="B33" s="29" t="inlineStr">
        <is>
          <t>People</t>
        </is>
      </c>
      <c r="C33" s="20" t="n">
        <v>250000</v>
      </c>
      <c r="D33" s="20" t="n"/>
      <c r="E33" s="33">
        <f>IF(D33="","",D33-C33)</f>
        <v/>
      </c>
      <c r="F33" s="37">
        <f>IF(E33="","",IF(C33=0,"",E33/C33))</f>
        <v/>
      </c>
      <c r="G33" s="13">
        <f>IF(D33="","",IF(F33="","",IF(F33&gt;0.1,"Over budget",IF(F33&lt;-0.1,"Under budget","On track"))))</f>
        <v/>
      </c>
      <c r="H33" s="6" t="n"/>
    </row>
    <row r="34">
      <c r="A34" s="36" t="n">
        <v>46235</v>
      </c>
      <c r="B34" s="29" t="inlineStr">
        <is>
          <t>Cloud / infra</t>
        </is>
      </c>
      <c r="C34" s="20" t="n">
        <v>25000</v>
      </c>
      <c r="D34" s="20" t="n"/>
      <c r="E34" s="33">
        <f>IF(D34="","",D34-C34)</f>
        <v/>
      </c>
      <c r="F34" s="37">
        <f>IF(E34="","",IF(C34=0,"",E34/C34))</f>
        <v/>
      </c>
      <c r="G34" s="13">
        <f>IF(D34="","",IF(F34="","",IF(F34&gt;0.1,"Over budget",IF(F34&lt;-0.1,"Under budget","On track"))))</f>
        <v/>
      </c>
      <c r="H34" s="6" t="n"/>
    </row>
    <row r="35">
      <c r="A35" s="36" t="n">
        <v>46235</v>
      </c>
      <c r="B35" s="29" t="inlineStr">
        <is>
          <t>SaaS / tools</t>
        </is>
      </c>
      <c r="C35" s="20" t="n">
        <v>15000</v>
      </c>
      <c r="D35" s="20" t="n"/>
      <c r="E35" s="33">
        <f>IF(D35="","",D35-C35)</f>
        <v/>
      </c>
      <c r="F35" s="37">
        <f>IF(E35="","",IF(C35=0,"",E35/C35))</f>
        <v/>
      </c>
      <c r="G35" s="13">
        <f>IF(D35="","",IF(F35="","",IF(F35&gt;0.1,"Over budget",IF(F35&lt;-0.1,"Under budget","On track"))))</f>
        <v/>
      </c>
      <c r="H35" s="6" t="n"/>
    </row>
    <row r="36">
      <c r="A36" s="36" t="n">
        <v>46235</v>
      </c>
      <c r="B36" s="29" t="inlineStr">
        <is>
          <t>Sales &amp; marketing</t>
        </is>
      </c>
      <c r="C36" s="20" t="n">
        <v>20000</v>
      </c>
      <c r="D36" s="20" t="n"/>
      <c r="E36" s="33">
        <f>IF(D36="","",D36-C36)</f>
        <v/>
      </c>
      <c r="F36" s="37">
        <f>IF(E36="","",IF(C36=0,"",E36/C36))</f>
        <v/>
      </c>
      <c r="G36" s="13">
        <f>IF(D36="","",IF(F36="","",IF(F36&gt;0.1,"Over budget",IF(F36&lt;-0.1,"Under budget","On track"))))</f>
        <v/>
      </c>
      <c r="H36" s="6" t="n"/>
    </row>
    <row r="37">
      <c r="A37" s="36" t="n">
        <v>46235</v>
      </c>
      <c r="B37" s="29" t="inlineStr">
        <is>
          <t>Legal / compliance / CA</t>
        </is>
      </c>
      <c r="C37" s="20" t="n">
        <v>15000</v>
      </c>
      <c r="D37" s="20" t="n"/>
      <c r="E37" s="33">
        <f>IF(D37="","",D37-C37)</f>
        <v/>
      </c>
      <c r="F37" s="37">
        <f>IF(E37="","",IF(C37=0,"",E37/C37))</f>
        <v/>
      </c>
      <c r="G37" s="13">
        <f>IF(D37="","",IF(F37="","",IF(F37&gt;0.1,"Over budget",IF(F37&lt;-0.1,"Under budget","On track"))))</f>
        <v/>
      </c>
      <c r="H37" s="6" t="n"/>
    </row>
    <row r="38">
      <c r="A38" s="36" t="n">
        <v>46235</v>
      </c>
      <c r="B38" s="29" t="inlineStr">
        <is>
          <t>Office / admin</t>
        </is>
      </c>
      <c r="C38" s="20" t="n">
        <v>5000</v>
      </c>
      <c r="D38" s="20" t="n"/>
      <c r="E38" s="33">
        <f>IF(D38="","",D38-C38)</f>
        <v/>
      </c>
      <c r="F38" s="37">
        <f>IF(E38="","",IF(C38=0,"",E38/C38))</f>
        <v/>
      </c>
      <c r="G38" s="13">
        <f>IF(D38="","",IF(F38="","",IF(F38&gt;0.1,"Over budget",IF(F38&lt;-0.1,"Under budget","On track"))))</f>
        <v/>
      </c>
      <c r="H38" s="6" t="n"/>
    </row>
    <row r="39">
      <c r="A39" s="36" t="n">
        <v>46235</v>
      </c>
      <c r="B39" s="29" t="inlineStr">
        <is>
          <t>Other</t>
        </is>
      </c>
      <c r="C39" s="20" t="n">
        <v>10000</v>
      </c>
      <c r="D39" s="20" t="n"/>
      <c r="E39" s="33">
        <f>IF(D39="","",D39-C39)</f>
        <v/>
      </c>
      <c r="F39" s="37">
        <f>IF(E39="","",IF(C39=0,"",E39/C39))</f>
        <v/>
      </c>
      <c r="G39" s="13">
        <f>IF(D39="","",IF(F39="","",IF(F39&gt;0.1,"Over budget",IF(F39&lt;-0.1,"Under budget","On track"))))</f>
        <v/>
      </c>
      <c r="H39" s="6" t="n"/>
    </row>
    <row r="40">
      <c r="A40" s="36" t="n">
        <v>46266</v>
      </c>
      <c r="B40" s="29" t="inlineStr">
        <is>
          <t>People</t>
        </is>
      </c>
      <c r="C40" s="20" t="n">
        <v>250000</v>
      </c>
      <c r="D40" s="20" t="n"/>
      <c r="E40" s="33">
        <f>IF(D40="","",D40-C40)</f>
        <v/>
      </c>
      <c r="F40" s="37">
        <f>IF(E40="","",IF(C40=0,"",E40/C40))</f>
        <v/>
      </c>
      <c r="G40" s="13">
        <f>IF(D40="","",IF(F40="","",IF(F40&gt;0.1,"Over budget",IF(F40&lt;-0.1,"Under budget","On track"))))</f>
        <v/>
      </c>
      <c r="H40" s="6" t="n"/>
    </row>
    <row r="41">
      <c r="A41" s="36" t="n">
        <v>46266</v>
      </c>
      <c r="B41" s="29" t="inlineStr">
        <is>
          <t>Cloud / infra</t>
        </is>
      </c>
      <c r="C41" s="20" t="n">
        <v>25000</v>
      </c>
      <c r="D41" s="20" t="n"/>
      <c r="E41" s="33">
        <f>IF(D41="","",D41-C41)</f>
        <v/>
      </c>
      <c r="F41" s="37">
        <f>IF(E41="","",IF(C41=0,"",E41/C41))</f>
        <v/>
      </c>
      <c r="G41" s="13">
        <f>IF(D41="","",IF(F41="","",IF(F41&gt;0.1,"Over budget",IF(F41&lt;-0.1,"Under budget","On track"))))</f>
        <v/>
      </c>
      <c r="H41" s="6" t="n"/>
    </row>
    <row r="42">
      <c r="A42" s="36" t="n">
        <v>46266</v>
      </c>
      <c r="B42" s="29" t="inlineStr">
        <is>
          <t>SaaS / tools</t>
        </is>
      </c>
      <c r="C42" s="20" t="n">
        <v>15000</v>
      </c>
      <c r="D42" s="20" t="n"/>
      <c r="E42" s="33">
        <f>IF(D42="","",D42-C42)</f>
        <v/>
      </c>
      <c r="F42" s="37">
        <f>IF(E42="","",IF(C42=0,"",E42/C42))</f>
        <v/>
      </c>
      <c r="G42" s="13">
        <f>IF(D42="","",IF(F42="","",IF(F42&gt;0.1,"Over budget",IF(F42&lt;-0.1,"Under budget","On track"))))</f>
        <v/>
      </c>
      <c r="H42" s="6" t="n"/>
    </row>
    <row r="43">
      <c r="A43" s="36" t="n">
        <v>46266</v>
      </c>
      <c r="B43" s="29" t="inlineStr">
        <is>
          <t>Sales &amp; marketing</t>
        </is>
      </c>
      <c r="C43" s="20" t="n">
        <v>20000</v>
      </c>
      <c r="D43" s="20" t="n"/>
      <c r="E43" s="33">
        <f>IF(D43="","",D43-C43)</f>
        <v/>
      </c>
      <c r="F43" s="37">
        <f>IF(E43="","",IF(C43=0,"",E43/C43))</f>
        <v/>
      </c>
      <c r="G43" s="13">
        <f>IF(D43="","",IF(F43="","",IF(F43&gt;0.1,"Over budget",IF(F43&lt;-0.1,"Under budget","On track"))))</f>
        <v/>
      </c>
      <c r="H43" s="6" t="n"/>
    </row>
    <row r="44">
      <c r="A44" s="36" t="n">
        <v>46266</v>
      </c>
      <c r="B44" s="29" t="inlineStr">
        <is>
          <t>Legal / compliance / CA</t>
        </is>
      </c>
      <c r="C44" s="20" t="n">
        <v>15000</v>
      </c>
      <c r="D44" s="20" t="n"/>
      <c r="E44" s="33">
        <f>IF(D44="","",D44-C44)</f>
        <v/>
      </c>
      <c r="F44" s="37">
        <f>IF(E44="","",IF(C44=0,"",E44/C44))</f>
        <v/>
      </c>
      <c r="G44" s="13">
        <f>IF(D44="","",IF(F44="","",IF(F44&gt;0.1,"Over budget",IF(F44&lt;-0.1,"Under budget","On track"))))</f>
        <v/>
      </c>
      <c r="H44" s="6" t="n"/>
    </row>
    <row r="45">
      <c r="A45" s="36" t="n">
        <v>46266</v>
      </c>
      <c r="B45" s="29" t="inlineStr">
        <is>
          <t>Office / admin</t>
        </is>
      </c>
      <c r="C45" s="20" t="n">
        <v>5000</v>
      </c>
      <c r="D45" s="20" t="n"/>
      <c r="E45" s="33">
        <f>IF(D45="","",D45-C45)</f>
        <v/>
      </c>
      <c r="F45" s="37">
        <f>IF(E45="","",IF(C45=0,"",E45/C45))</f>
        <v/>
      </c>
      <c r="G45" s="13">
        <f>IF(D45="","",IF(F45="","",IF(F45&gt;0.1,"Over budget",IF(F45&lt;-0.1,"Under budget","On track"))))</f>
        <v/>
      </c>
      <c r="H45" s="6" t="n"/>
    </row>
    <row r="46">
      <c r="A46" s="36" t="n">
        <v>46266</v>
      </c>
      <c r="B46" s="29" t="inlineStr">
        <is>
          <t>Other</t>
        </is>
      </c>
      <c r="C46" s="20" t="n">
        <v>10000</v>
      </c>
      <c r="D46" s="20" t="n"/>
      <c r="E46" s="33">
        <f>IF(D46="","",D46-C46)</f>
        <v/>
      </c>
      <c r="F46" s="37">
        <f>IF(E46="","",IF(C46=0,"",E46/C46))</f>
        <v/>
      </c>
      <c r="G46" s="13">
        <f>IF(D46="","",IF(F46="","",IF(F46&gt;0.1,"Over budget",IF(F46&lt;-0.1,"Under budget","On track"))))</f>
        <v/>
      </c>
      <c r="H46" s="6" t="n"/>
    </row>
    <row r="47">
      <c r="A47" s="36" t="n">
        <v>46296</v>
      </c>
      <c r="B47" s="29" t="inlineStr">
        <is>
          <t>People</t>
        </is>
      </c>
      <c r="C47" s="20" t="n">
        <v>250000</v>
      </c>
      <c r="D47" s="20" t="n"/>
      <c r="E47" s="33">
        <f>IF(D47="","",D47-C47)</f>
        <v/>
      </c>
      <c r="F47" s="37">
        <f>IF(E47="","",IF(C47=0,"",E47/C47))</f>
        <v/>
      </c>
      <c r="G47" s="13">
        <f>IF(D47="","",IF(F47="","",IF(F47&gt;0.1,"Over budget",IF(F47&lt;-0.1,"Under budget","On track"))))</f>
        <v/>
      </c>
      <c r="H47" s="6" t="n"/>
    </row>
    <row r="48">
      <c r="A48" s="36" t="n">
        <v>46296</v>
      </c>
      <c r="B48" s="29" t="inlineStr">
        <is>
          <t>Cloud / infra</t>
        </is>
      </c>
      <c r="C48" s="20" t="n">
        <v>25000</v>
      </c>
      <c r="D48" s="20" t="n"/>
      <c r="E48" s="33">
        <f>IF(D48="","",D48-C48)</f>
        <v/>
      </c>
      <c r="F48" s="37">
        <f>IF(E48="","",IF(C48=0,"",E48/C48))</f>
        <v/>
      </c>
      <c r="G48" s="13">
        <f>IF(D48="","",IF(F48="","",IF(F48&gt;0.1,"Over budget",IF(F48&lt;-0.1,"Under budget","On track"))))</f>
        <v/>
      </c>
      <c r="H48" s="6" t="n"/>
    </row>
    <row r="49">
      <c r="A49" s="36" t="n">
        <v>46296</v>
      </c>
      <c r="B49" s="29" t="inlineStr">
        <is>
          <t>SaaS / tools</t>
        </is>
      </c>
      <c r="C49" s="20" t="n">
        <v>15000</v>
      </c>
      <c r="D49" s="20" t="n"/>
      <c r="E49" s="33">
        <f>IF(D49="","",D49-C49)</f>
        <v/>
      </c>
      <c r="F49" s="37">
        <f>IF(E49="","",IF(C49=0,"",E49/C49))</f>
        <v/>
      </c>
      <c r="G49" s="13">
        <f>IF(D49="","",IF(F49="","",IF(F49&gt;0.1,"Over budget",IF(F49&lt;-0.1,"Under budget","On track"))))</f>
        <v/>
      </c>
      <c r="H49" s="6" t="n"/>
    </row>
    <row r="50">
      <c r="A50" s="36" t="n">
        <v>46296</v>
      </c>
      <c r="B50" s="29" t="inlineStr">
        <is>
          <t>Sales &amp; marketing</t>
        </is>
      </c>
      <c r="C50" s="20" t="n">
        <v>20000</v>
      </c>
      <c r="D50" s="20" t="n"/>
      <c r="E50" s="33">
        <f>IF(D50="","",D50-C50)</f>
        <v/>
      </c>
      <c r="F50" s="37">
        <f>IF(E50="","",IF(C50=0,"",E50/C50))</f>
        <v/>
      </c>
      <c r="G50" s="13">
        <f>IF(D50="","",IF(F50="","",IF(F50&gt;0.1,"Over budget",IF(F50&lt;-0.1,"Under budget","On track"))))</f>
        <v/>
      </c>
      <c r="H50" s="6" t="n"/>
    </row>
    <row r="51">
      <c r="A51" s="36" t="n">
        <v>46296</v>
      </c>
      <c r="B51" s="29" t="inlineStr">
        <is>
          <t>Legal / compliance / CA</t>
        </is>
      </c>
      <c r="C51" s="20" t="n">
        <v>15000</v>
      </c>
      <c r="D51" s="20" t="n"/>
      <c r="E51" s="33">
        <f>IF(D51="","",D51-C51)</f>
        <v/>
      </c>
      <c r="F51" s="37">
        <f>IF(E51="","",IF(C51=0,"",E51/C51))</f>
        <v/>
      </c>
      <c r="G51" s="13">
        <f>IF(D51="","",IF(F51="","",IF(F51&gt;0.1,"Over budget",IF(F51&lt;-0.1,"Under budget","On track"))))</f>
        <v/>
      </c>
      <c r="H51" s="6" t="n"/>
    </row>
    <row r="52">
      <c r="A52" s="36" t="n">
        <v>46296</v>
      </c>
      <c r="B52" s="29" t="inlineStr">
        <is>
          <t>Office / admin</t>
        </is>
      </c>
      <c r="C52" s="20" t="n">
        <v>5000</v>
      </c>
      <c r="D52" s="20" t="n"/>
      <c r="E52" s="33">
        <f>IF(D52="","",D52-C52)</f>
        <v/>
      </c>
      <c r="F52" s="37">
        <f>IF(E52="","",IF(C52=0,"",E52/C52))</f>
        <v/>
      </c>
      <c r="G52" s="13">
        <f>IF(D52="","",IF(F52="","",IF(F52&gt;0.1,"Over budget",IF(F52&lt;-0.1,"Under budget","On track"))))</f>
        <v/>
      </c>
      <c r="H52" s="6" t="n"/>
    </row>
    <row r="53">
      <c r="A53" s="36" t="n">
        <v>46296</v>
      </c>
      <c r="B53" s="29" t="inlineStr">
        <is>
          <t>Other</t>
        </is>
      </c>
      <c r="C53" s="20" t="n">
        <v>10000</v>
      </c>
      <c r="D53" s="20" t="n"/>
      <c r="E53" s="33">
        <f>IF(D53="","",D53-C53)</f>
        <v/>
      </c>
      <c r="F53" s="37">
        <f>IF(E53="","",IF(C53=0,"",E53/C53))</f>
        <v/>
      </c>
      <c r="G53" s="13">
        <f>IF(D53="","",IF(F53="","",IF(F53&gt;0.1,"Over budget",IF(F53&lt;-0.1,"Under budget","On track"))))</f>
        <v/>
      </c>
      <c r="H53" s="6" t="n"/>
    </row>
    <row r="54">
      <c r="A54" s="36" t="n">
        <v>46327</v>
      </c>
      <c r="B54" s="29" t="inlineStr">
        <is>
          <t>People</t>
        </is>
      </c>
      <c r="C54" s="20" t="n">
        <v>250000</v>
      </c>
      <c r="D54" s="20" t="n"/>
      <c r="E54" s="33">
        <f>IF(D54="","",D54-C54)</f>
        <v/>
      </c>
      <c r="F54" s="37">
        <f>IF(E54="","",IF(C54=0,"",E54/C54))</f>
        <v/>
      </c>
      <c r="G54" s="13">
        <f>IF(D54="","",IF(F54="","",IF(F54&gt;0.1,"Over budget",IF(F54&lt;-0.1,"Under budget","On track"))))</f>
        <v/>
      </c>
      <c r="H54" s="6" t="n"/>
    </row>
    <row r="55">
      <c r="A55" s="36" t="n">
        <v>46327</v>
      </c>
      <c r="B55" s="29" t="inlineStr">
        <is>
          <t>Cloud / infra</t>
        </is>
      </c>
      <c r="C55" s="20" t="n">
        <v>25000</v>
      </c>
      <c r="D55" s="20" t="n"/>
      <c r="E55" s="33">
        <f>IF(D55="","",D55-C55)</f>
        <v/>
      </c>
      <c r="F55" s="37">
        <f>IF(E55="","",IF(C55=0,"",E55/C55))</f>
        <v/>
      </c>
      <c r="G55" s="13">
        <f>IF(D55="","",IF(F55="","",IF(F55&gt;0.1,"Over budget",IF(F55&lt;-0.1,"Under budget","On track"))))</f>
        <v/>
      </c>
      <c r="H55" s="6" t="n"/>
    </row>
    <row r="56">
      <c r="A56" s="36" t="n">
        <v>46327</v>
      </c>
      <c r="B56" s="29" t="inlineStr">
        <is>
          <t>SaaS / tools</t>
        </is>
      </c>
      <c r="C56" s="20" t="n">
        <v>15000</v>
      </c>
      <c r="D56" s="20" t="n"/>
      <c r="E56" s="33">
        <f>IF(D56="","",D56-C56)</f>
        <v/>
      </c>
      <c r="F56" s="37">
        <f>IF(E56="","",IF(C56=0,"",E56/C56))</f>
        <v/>
      </c>
      <c r="G56" s="13">
        <f>IF(D56="","",IF(F56="","",IF(F56&gt;0.1,"Over budget",IF(F56&lt;-0.1,"Under budget","On track"))))</f>
        <v/>
      </c>
      <c r="H56" s="6" t="n"/>
    </row>
    <row r="57">
      <c r="A57" s="36" t="n">
        <v>46327</v>
      </c>
      <c r="B57" s="29" t="inlineStr">
        <is>
          <t>Sales &amp; marketing</t>
        </is>
      </c>
      <c r="C57" s="20" t="n">
        <v>20000</v>
      </c>
      <c r="D57" s="20" t="n"/>
      <c r="E57" s="33">
        <f>IF(D57="","",D57-C57)</f>
        <v/>
      </c>
      <c r="F57" s="37">
        <f>IF(E57="","",IF(C57=0,"",E57/C57))</f>
        <v/>
      </c>
      <c r="G57" s="13">
        <f>IF(D57="","",IF(F57="","",IF(F57&gt;0.1,"Over budget",IF(F57&lt;-0.1,"Under budget","On track"))))</f>
        <v/>
      </c>
      <c r="H57" s="6" t="n"/>
    </row>
    <row r="58">
      <c r="A58" s="36" t="n">
        <v>46327</v>
      </c>
      <c r="B58" s="29" t="inlineStr">
        <is>
          <t>Legal / compliance / CA</t>
        </is>
      </c>
      <c r="C58" s="20" t="n">
        <v>15000</v>
      </c>
      <c r="D58" s="20" t="n"/>
      <c r="E58" s="33">
        <f>IF(D58="","",D58-C58)</f>
        <v/>
      </c>
      <c r="F58" s="37">
        <f>IF(E58="","",IF(C58=0,"",E58/C58))</f>
        <v/>
      </c>
      <c r="G58" s="13">
        <f>IF(D58="","",IF(F58="","",IF(F58&gt;0.1,"Over budget",IF(F58&lt;-0.1,"Under budget","On track"))))</f>
        <v/>
      </c>
      <c r="H58" s="6" t="n"/>
    </row>
    <row r="59">
      <c r="A59" s="36" t="n">
        <v>46327</v>
      </c>
      <c r="B59" s="29" t="inlineStr">
        <is>
          <t>Office / admin</t>
        </is>
      </c>
      <c r="C59" s="20" t="n">
        <v>5000</v>
      </c>
      <c r="D59" s="20" t="n"/>
      <c r="E59" s="33">
        <f>IF(D59="","",D59-C59)</f>
        <v/>
      </c>
      <c r="F59" s="37">
        <f>IF(E59="","",IF(C59=0,"",E59/C59))</f>
        <v/>
      </c>
      <c r="G59" s="13">
        <f>IF(D59="","",IF(F59="","",IF(F59&gt;0.1,"Over budget",IF(F59&lt;-0.1,"Under budget","On track"))))</f>
        <v/>
      </c>
      <c r="H59" s="6" t="n"/>
    </row>
    <row r="60">
      <c r="A60" s="36" t="n">
        <v>46327</v>
      </c>
      <c r="B60" s="29" t="inlineStr">
        <is>
          <t>Other</t>
        </is>
      </c>
      <c r="C60" s="20" t="n">
        <v>10000</v>
      </c>
      <c r="D60" s="20" t="n"/>
      <c r="E60" s="33">
        <f>IF(D60="","",D60-C60)</f>
        <v/>
      </c>
      <c r="F60" s="37">
        <f>IF(E60="","",IF(C60=0,"",E60/C60))</f>
        <v/>
      </c>
      <c r="G60" s="13">
        <f>IF(D60="","",IF(F60="","",IF(F60&gt;0.1,"Over budget",IF(F60&lt;-0.1,"Under budget","On track"))))</f>
        <v/>
      </c>
      <c r="H60" s="6" t="n"/>
    </row>
    <row r="61">
      <c r="A61" s="36" t="n">
        <v>46357</v>
      </c>
      <c r="B61" s="29" t="inlineStr">
        <is>
          <t>People</t>
        </is>
      </c>
      <c r="C61" s="20" t="n">
        <v>250000</v>
      </c>
      <c r="D61" s="20" t="n"/>
      <c r="E61" s="33">
        <f>IF(D61="","",D61-C61)</f>
        <v/>
      </c>
      <c r="F61" s="37">
        <f>IF(E61="","",IF(C61=0,"",E61/C61))</f>
        <v/>
      </c>
      <c r="G61" s="13">
        <f>IF(D61="","",IF(F61="","",IF(F61&gt;0.1,"Over budget",IF(F61&lt;-0.1,"Under budget","On track"))))</f>
        <v/>
      </c>
      <c r="H61" s="6" t="n"/>
    </row>
    <row r="62">
      <c r="A62" s="36" t="n">
        <v>46357</v>
      </c>
      <c r="B62" s="29" t="inlineStr">
        <is>
          <t>Cloud / infra</t>
        </is>
      </c>
      <c r="C62" s="20" t="n">
        <v>25000</v>
      </c>
      <c r="D62" s="20" t="n"/>
      <c r="E62" s="33">
        <f>IF(D62="","",D62-C62)</f>
        <v/>
      </c>
      <c r="F62" s="37">
        <f>IF(E62="","",IF(C62=0,"",E62/C62))</f>
        <v/>
      </c>
      <c r="G62" s="13">
        <f>IF(D62="","",IF(F62="","",IF(F62&gt;0.1,"Over budget",IF(F62&lt;-0.1,"Under budget","On track"))))</f>
        <v/>
      </c>
      <c r="H62" s="6" t="n"/>
    </row>
    <row r="63">
      <c r="A63" s="36" t="n">
        <v>46357</v>
      </c>
      <c r="B63" s="29" t="inlineStr">
        <is>
          <t>SaaS / tools</t>
        </is>
      </c>
      <c r="C63" s="20" t="n">
        <v>15000</v>
      </c>
      <c r="D63" s="20" t="n"/>
      <c r="E63" s="33">
        <f>IF(D63="","",D63-C63)</f>
        <v/>
      </c>
      <c r="F63" s="37">
        <f>IF(E63="","",IF(C63=0,"",E63/C63))</f>
        <v/>
      </c>
      <c r="G63" s="13">
        <f>IF(D63="","",IF(F63="","",IF(F63&gt;0.1,"Over budget",IF(F63&lt;-0.1,"Under budget","On track"))))</f>
        <v/>
      </c>
      <c r="H63" s="6" t="n"/>
    </row>
    <row r="64">
      <c r="A64" s="36" t="n">
        <v>46357</v>
      </c>
      <c r="B64" s="29" t="inlineStr">
        <is>
          <t>Sales &amp; marketing</t>
        </is>
      </c>
      <c r="C64" s="20" t="n">
        <v>20000</v>
      </c>
      <c r="D64" s="20" t="n"/>
      <c r="E64" s="33">
        <f>IF(D64="","",D64-C64)</f>
        <v/>
      </c>
      <c r="F64" s="37">
        <f>IF(E64="","",IF(C64=0,"",E64/C64))</f>
        <v/>
      </c>
      <c r="G64" s="13">
        <f>IF(D64="","",IF(F64="","",IF(F64&gt;0.1,"Over budget",IF(F64&lt;-0.1,"Under budget","On track"))))</f>
        <v/>
      </c>
      <c r="H64" s="6" t="n"/>
    </row>
    <row r="65">
      <c r="A65" s="36" t="n">
        <v>46357</v>
      </c>
      <c r="B65" s="29" t="inlineStr">
        <is>
          <t>Legal / compliance / CA</t>
        </is>
      </c>
      <c r="C65" s="20" t="n">
        <v>15000</v>
      </c>
      <c r="D65" s="20" t="n"/>
      <c r="E65" s="33">
        <f>IF(D65="","",D65-C65)</f>
        <v/>
      </c>
      <c r="F65" s="37">
        <f>IF(E65="","",IF(C65=0,"",E65/C65))</f>
        <v/>
      </c>
      <c r="G65" s="13">
        <f>IF(D65="","",IF(F65="","",IF(F65&gt;0.1,"Over budget",IF(F65&lt;-0.1,"Under budget","On track"))))</f>
        <v/>
      </c>
      <c r="H65" s="6" t="n"/>
    </row>
    <row r="66">
      <c r="A66" s="36" t="n">
        <v>46357</v>
      </c>
      <c r="B66" s="29" t="inlineStr">
        <is>
          <t>Office / admin</t>
        </is>
      </c>
      <c r="C66" s="20" t="n">
        <v>5000</v>
      </c>
      <c r="D66" s="20" t="n"/>
      <c r="E66" s="33">
        <f>IF(D66="","",D66-C66)</f>
        <v/>
      </c>
      <c r="F66" s="37">
        <f>IF(E66="","",IF(C66=0,"",E66/C66))</f>
        <v/>
      </c>
      <c r="G66" s="13">
        <f>IF(D66="","",IF(F66="","",IF(F66&gt;0.1,"Over budget",IF(F66&lt;-0.1,"Under budget","On track"))))</f>
        <v/>
      </c>
      <c r="H66" s="6" t="n"/>
    </row>
    <row r="67">
      <c r="A67" s="36" t="n">
        <v>46357</v>
      </c>
      <c r="B67" s="29" t="inlineStr">
        <is>
          <t>Other</t>
        </is>
      </c>
      <c r="C67" s="20" t="n">
        <v>10000</v>
      </c>
      <c r="D67" s="20" t="n"/>
      <c r="E67" s="33">
        <f>IF(D67="","",D67-C67)</f>
        <v/>
      </c>
      <c r="F67" s="37">
        <f>IF(E67="","",IF(C67=0,"",E67/C67))</f>
        <v/>
      </c>
      <c r="G67" s="13">
        <f>IF(D67="","",IF(F67="","",IF(F67&gt;0.1,"Over budget",IF(F67&lt;-0.1,"Under budget","On track"))))</f>
        <v/>
      </c>
      <c r="H67" s="6" t="n"/>
    </row>
    <row r="68">
      <c r="A68" s="36" t="n">
        <v>46388</v>
      </c>
      <c r="B68" s="29" t="inlineStr">
        <is>
          <t>People</t>
        </is>
      </c>
      <c r="C68" s="20" t="n">
        <v>250000</v>
      </c>
      <c r="D68" s="20" t="n"/>
      <c r="E68" s="33">
        <f>IF(D68="","",D68-C68)</f>
        <v/>
      </c>
      <c r="F68" s="37">
        <f>IF(E68="","",IF(C68=0,"",E68/C68))</f>
        <v/>
      </c>
      <c r="G68" s="13">
        <f>IF(D68="","",IF(F68="","",IF(F68&gt;0.1,"Over budget",IF(F68&lt;-0.1,"Under budget","On track"))))</f>
        <v/>
      </c>
      <c r="H68" s="6" t="n"/>
    </row>
    <row r="69">
      <c r="A69" s="36" t="n">
        <v>46388</v>
      </c>
      <c r="B69" s="29" t="inlineStr">
        <is>
          <t>Cloud / infra</t>
        </is>
      </c>
      <c r="C69" s="20" t="n">
        <v>25000</v>
      </c>
      <c r="D69" s="20" t="n"/>
      <c r="E69" s="33">
        <f>IF(D69="","",D69-C69)</f>
        <v/>
      </c>
      <c r="F69" s="37">
        <f>IF(E69="","",IF(C69=0,"",E69/C69))</f>
        <v/>
      </c>
      <c r="G69" s="13">
        <f>IF(D69="","",IF(F69="","",IF(F69&gt;0.1,"Over budget",IF(F69&lt;-0.1,"Under budget","On track"))))</f>
        <v/>
      </c>
      <c r="H69" s="6" t="n"/>
    </row>
    <row r="70">
      <c r="A70" s="36" t="n">
        <v>46388</v>
      </c>
      <c r="B70" s="29" t="inlineStr">
        <is>
          <t>SaaS / tools</t>
        </is>
      </c>
      <c r="C70" s="20" t="n">
        <v>15000</v>
      </c>
      <c r="D70" s="20" t="n"/>
      <c r="E70" s="33">
        <f>IF(D70="","",D70-C70)</f>
        <v/>
      </c>
      <c r="F70" s="37">
        <f>IF(E70="","",IF(C70=0,"",E70/C70))</f>
        <v/>
      </c>
      <c r="G70" s="13">
        <f>IF(D70="","",IF(F70="","",IF(F70&gt;0.1,"Over budget",IF(F70&lt;-0.1,"Under budget","On track"))))</f>
        <v/>
      </c>
      <c r="H70" s="6" t="n"/>
    </row>
    <row r="71">
      <c r="A71" s="36" t="n">
        <v>46388</v>
      </c>
      <c r="B71" s="29" t="inlineStr">
        <is>
          <t>Sales &amp; marketing</t>
        </is>
      </c>
      <c r="C71" s="20" t="n">
        <v>20000</v>
      </c>
      <c r="D71" s="20" t="n"/>
      <c r="E71" s="33">
        <f>IF(D71="","",D71-C71)</f>
        <v/>
      </c>
      <c r="F71" s="37">
        <f>IF(E71="","",IF(C71=0,"",E71/C71))</f>
        <v/>
      </c>
      <c r="G71" s="13">
        <f>IF(D71="","",IF(F71="","",IF(F71&gt;0.1,"Over budget",IF(F71&lt;-0.1,"Under budget","On track"))))</f>
        <v/>
      </c>
      <c r="H71" s="6" t="n"/>
    </row>
    <row r="72">
      <c r="A72" s="36" t="n">
        <v>46388</v>
      </c>
      <c r="B72" s="29" t="inlineStr">
        <is>
          <t>Legal / compliance / CA</t>
        </is>
      </c>
      <c r="C72" s="20" t="n">
        <v>15000</v>
      </c>
      <c r="D72" s="20" t="n"/>
      <c r="E72" s="33">
        <f>IF(D72="","",D72-C72)</f>
        <v/>
      </c>
      <c r="F72" s="37">
        <f>IF(E72="","",IF(C72=0,"",E72/C72))</f>
        <v/>
      </c>
      <c r="G72" s="13">
        <f>IF(D72="","",IF(F72="","",IF(F72&gt;0.1,"Over budget",IF(F72&lt;-0.1,"Under budget","On track"))))</f>
        <v/>
      </c>
      <c r="H72" s="6" t="n"/>
    </row>
    <row r="73">
      <c r="A73" s="36" t="n">
        <v>46388</v>
      </c>
      <c r="B73" s="29" t="inlineStr">
        <is>
          <t>Office / admin</t>
        </is>
      </c>
      <c r="C73" s="20" t="n">
        <v>5000</v>
      </c>
      <c r="D73" s="20" t="n"/>
      <c r="E73" s="33">
        <f>IF(D73="","",D73-C73)</f>
        <v/>
      </c>
      <c r="F73" s="37">
        <f>IF(E73="","",IF(C73=0,"",E73/C73))</f>
        <v/>
      </c>
      <c r="G73" s="13">
        <f>IF(D73="","",IF(F73="","",IF(F73&gt;0.1,"Over budget",IF(F73&lt;-0.1,"Under budget","On track"))))</f>
        <v/>
      </c>
      <c r="H73" s="6" t="n"/>
    </row>
    <row r="74">
      <c r="A74" s="36" t="n">
        <v>46388</v>
      </c>
      <c r="B74" s="29" t="inlineStr">
        <is>
          <t>Other</t>
        </is>
      </c>
      <c r="C74" s="20" t="n">
        <v>10000</v>
      </c>
      <c r="D74" s="20" t="n"/>
      <c r="E74" s="33">
        <f>IF(D74="","",D74-C74)</f>
        <v/>
      </c>
      <c r="F74" s="37">
        <f>IF(E74="","",IF(C74=0,"",E74/C74))</f>
        <v/>
      </c>
      <c r="G74" s="13">
        <f>IF(D74="","",IF(F74="","",IF(F74&gt;0.1,"Over budget",IF(F74&lt;-0.1,"Under budget","On track"))))</f>
        <v/>
      </c>
      <c r="H74" s="6" t="n"/>
    </row>
    <row r="75">
      <c r="A75" s="36" t="n">
        <v>46419</v>
      </c>
      <c r="B75" s="29" t="inlineStr">
        <is>
          <t>People</t>
        </is>
      </c>
      <c r="C75" s="20" t="n">
        <v>250000</v>
      </c>
      <c r="D75" s="20" t="n"/>
      <c r="E75" s="33">
        <f>IF(D75="","",D75-C75)</f>
        <v/>
      </c>
      <c r="F75" s="37">
        <f>IF(E75="","",IF(C75=0,"",E75/C75))</f>
        <v/>
      </c>
      <c r="G75" s="13">
        <f>IF(D75="","",IF(F75="","",IF(F75&gt;0.1,"Over budget",IF(F75&lt;-0.1,"Under budget","On track"))))</f>
        <v/>
      </c>
      <c r="H75" s="6" t="n"/>
    </row>
    <row r="76">
      <c r="A76" s="36" t="n">
        <v>46419</v>
      </c>
      <c r="B76" s="29" t="inlineStr">
        <is>
          <t>Cloud / infra</t>
        </is>
      </c>
      <c r="C76" s="20" t="n">
        <v>25000</v>
      </c>
      <c r="D76" s="20" t="n"/>
      <c r="E76" s="33">
        <f>IF(D76="","",D76-C76)</f>
        <v/>
      </c>
      <c r="F76" s="37">
        <f>IF(E76="","",IF(C76=0,"",E76/C76))</f>
        <v/>
      </c>
      <c r="G76" s="13">
        <f>IF(D76="","",IF(F76="","",IF(F76&gt;0.1,"Over budget",IF(F76&lt;-0.1,"Under budget","On track"))))</f>
        <v/>
      </c>
      <c r="H76" s="6" t="n"/>
    </row>
    <row r="77">
      <c r="A77" s="36" t="n">
        <v>46419</v>
      </c>
      <c r="B77" s="29" t="inlineStr">
        <is>
          <t>SaaS / tools</t>
        </is>
      </c>
      <c r="C77" s="20" t="n">
        <v>15000</v>
      </c>
      <c r="D77" s="20" t="n"/>
      <c r="E77" s="33">
        <f>IF(D77="","",D77-C77)</f>
        <v/>
      </c>
      <c r="F77" s="37">
        <f>IF(E77="","",IF(C77=0,"",E77/C77))</f>
        <v/>
      </c>
      <c r="G77" s="13">
        <f>IF(D77="","",IF(F77="","",IF(F77&gt;0.1,"Over budget",IF(F77&lt;-0.1,"Under budget","On track"))))</f>
        <v/>
      </c>
      <c r="H77" s="6" t="n"/>
    </row>
    <row r="78">
      <c r="A78" s="36" t="n">
        <v>46419</v>
      </c>
      <c r="B78" s="29" t="inlineStr">
        <is>
          <t>Sales &amp; marketing</t>
        </is>
      </c>
      <c r="C78" s="20" t="n">
        <v>20000</v>
      </c>
      <c r="D78" s="20" t="n"/>
      <c r="E78" s="33">
        <f>IF(D78="","",D78-C78)</f>
        <v/>
      </c>
      <c r="F78" s="37">
        <f>IF(E78="","",IF(C78=0,"",E78/C78))</f>
        <v/>
      </c>
      <c r="G78" s="13">
        <f>IF(D78="","",IF(F78="","",IF(F78&gt;0.1,"Over budget",IF(F78&lt;-0.1,"Under budget","On track"))))</f>
        <v/>
      </c>
      <c r="H78" s="6" t="n"/>
    </row>
    <row r="79">
      <c r="A79" s="36" t="n">
        <v>46419</v>
      </c>
      <c r="B79" s="29" t="inlineStr">
        <is>
          <t>Legal / compliance / CA</t>
        </is>
      </c>
      <c r="C79" s="20" t="n">
        <v>15000</v>
      </c>
      <c r="D79" s="20" t="n"/>
      <c r="E79" s="33">
        <f>IF(D79="","",D79-C79)</f>
        <v/>
      </c>
      <c r="F79" s="37">
        <f>IF(E79="","",IF(C79=0,"",E79/C79))</f>
        <v/>
      </c>
      <c r="G79" s="13">
        <f>IF(D79="","",IF(F79="","",IF(F79&gt;0.1,"Over budget",IF(F79&lt;-0.1,"Under budget","On track"))))</f>
        <v/>
      </c>
      <c r="H79" s="6" t="n"/>
    </row>
    <row r="80">
      <c r="A80" s="36" t="n">
        <v>46419</v>
      </c>
      <c r="B80" s="29" t="inlineStr">
        <is>
          <t>Office / admin</t>
        </is>
      </c>
      <c r="C80" s="20" t="n">
        <v>5000</v>
      </c>
      <c r="D80" s="20" t="n"/>
      <c r="E80" s="33">
        <f>IF(D80="","",D80-C80)</f>
        <v/>
      </c>
      <c r="F80" s="37">
        <f>IF(E80="","",IF(C80=0,"",E80/C80))</f>
        <v/>
      </c>
      <c r="G80" s="13">
        <f>IF(D80="","",IF(F80="","",IF(F80&gt;0.1,"Over budget",IF(F80&lt;-0.1,"Under budget","On track"))))</f>
        <v/>
      </c>
      <c r="H80" s="6" t="n"/>
    </row>
    <row r="81">
      <c r="A81" s="36" t="n">
        <v>46419</v>
      </c>
      <c r="B81" s="29" t="inlineStr">
        <is>
          <t>Other</t>
        </is>
      </c>
      <c r="C81" s="20" t="n">
        <v>10000</v>
      </c>
      <c r="D81" s="20" t="n"/>
      <c r="E81" s="33">
        <f>IF(D81="","",D81-C81)</f>
        <v/>
      </c>
      <c r="F81" s="37">
        <f>IF(E81="","",IF(C81=0,"",E81/C81))</f>
        <v/>
      </c>
      <c r="G81" s="13">
        <f>IF(D81="","",IF(F81="","",IF(F81&gt;0.1,"Over budget",IF(F81&lt;-0.1,"Under budget","On track"))))</f>
        <v/>
      </c>
      <c r="H81" s="6" t="n"/>
    </row>
    <row r="82">
      <c r="A82" s="36" t="n">
        <v>46447</v>
      </c>
      <c r="B82" s="29" t="inlineStr">
        <is>
          <t>People</t>
        </is>
      </c>
      <c r="C82" s="20" t="n">
        <v>250000</v>
      </c>
      <c r="D82" s="20" t="n"/>
      <c r="E82" s="33">
        <f>IF(D82="","",D82-C82)</f>
        <v/>
      </c>
      <c r="F82" s="37">
        <f>IF(E82="","",IF(C82=0,"",E82/C82))</f>
        <v/>
      </c>
      <c r="G82" s="13">
        <f>IF(D82="","",IF(F82="","",IF(F82&gt;0.1,"Over budget",IF(F82&lt;-0.1,"Under budget","On track"))))</f>
        <v/>
      </c>
      <c r="H82" s="6" t="n"/>
    </row>
    <row r="83">
      <c r="A83" s="36" t="n">
        <v>46447</v>
      </c>
      <c r="B83" s="29" t="inlineStr">
        <is>
          <t>Cloud / infra</t>
        </is>
      </c>
      <c r="C83" s="20" t="n">
        <v>25000</v>
      </c>
      <c r="D83" s="20" t="n"/>
      <c r="E83" s="33">
        <f>IF(D83="","",D83-C83)</f>
        <v/>
      </c>
      <c r="F83" s="37">
        <f>IF(E83="","",IF(C83=0,"",E83/C83))</f>
        <v/>
      </c>
      <c r="G83" s="13">
        <f>IF(D83="","",IF(F83="","",IF(F83&gt;0.1,"Over budget",IF(F83&lt;-0.1,"Under budget","On track"))))</f>
        <v/>
      </c>
      <c r="H83" s="6" t="n"/>
    </row>
    <row r="84">
      <c r="A84" s="36" t="n">
        <v>46447</v>
      </c>
      <c r="B84" s="29" t="inlineStr">
        <is>
          <t>SaaS / tools</t>
        </is>
      </c>
      <c r="C84" s="20" t="n">
        <v>15000</v>
      </c>
      <c r="D84" s="20" t="n"/>
      <c r="E84" s="33">
        <f>IF(D84="","",D84-C84)</f>
        <v/>
      </c>
      <c r="F84" s="37">
        <f>IF(E84="","",IF(C84=0,"",E84/C84))</f>
        <v/>
      </c>
      <c r="G84" s="13">
        <f>IF(D84="","",IF(F84="","",IF(F84&gt;0.1,"Over budget",IF(F84&lt;-0.1,"Under budget","On track"))))</f>
        <v/>
      </c>
      <c r="H84" s="6" t="n"/>
    </row>
    <row r="85">
      <c r="A85" s="36" t="n">
        <v>46447</v>
      </c>
      <c r="B85" s="29" t="inlineStr">
        <is>
          <t>Sales &amp; marketing</t>
        </is>
      </c>
      <c r="C85" s="20" t="n">
        <v>20000</v>
      </c>
      <c r="D85" s="20" t="n"/>
      <c r="E85" s="33">
        <f>IF(D85="","",D85-C85)</f>
        <v/>
      </c>
      <c r="F85" s="37">
        <f>IF(E85="","",IF(C85=0,"",E85/C85))</f>
        <v/>
      </c>
      <c r="G85" s="13">
        <f>IF(D85="","",IF(F85="","",IF(F85&gt;0.1,"Over budget",IF(F85&lt;-0.1,"Under budget","On track"))))</f>
        <v/>
      </c>
      <c r="H85" s="6" t="n"/>
    </row>
    <row r="86">
      <c r="A86" s="36" t="n">
        <v>46447</v>
      </c>
      <c r="B86" s="29" t="inlineStr">
        <is>
          <t>Legal / compliance / CA</t>
        </is>
      </c>
      <c r="C86" s="20" t="n">
        <v>15000</v>
      </c>
      <c r="D86" s="20" t="n"/>
      <c r="E86" s="33">
        <f>IF(D86="","",D86-C86)</f>
        <v/>
      </c>
      <c r="F86" s="37">
        <f>IF(E86="","",IF(C86=0,"",E86/C86))</f>
        <v/>
      </c>
      <c r="G86" s="13">
        <f>IF(D86="","",IF(F86="","",IF(F86&gt;0.1,"Over budget",IF(F86&lt;-0.1,"Under budget","On track"))))</f>
        <v/>
      </c>
      <c r="H86" s="6" t="n"/>
    </row>
    <row r="87">
      <c r="A87" s="36" t="n">
        <v>46447</v>
      </c>
      <c r="B87" s="29" t="inlineStr">
        <is>
          <t>Office / admin</t>
        </is>
      </c>
      <c r="C87" s="20" t="n">
        <v>5000</v>
      </c>
      <c r="D87" s="20" t="n"/>
      <c r="E87" s="33">
        <f>IF(D87="","",D87-C87)</f>
        <v/>
      </c>
      <c r="F87" s="37">
        <f>IF(E87="","",IF(C87=0,"",E87/C87))</f>
        <v/>
      </c>
      <c r="G87" s="13">
        <f>IF(D87="","",IF(F87="","",IF(F87&gt;0.1,"Over budget",IF(F87&lt;-0.1,"Under budget","On track"))))</f>
        <v/>
      </c>
      <c r="H87" s="6" t="n"/>
    </row>
    <row r="88">
      <c r="A88" s="36" t="n">
        <v>46447</v>
      </c>
      <c r="B88" s="29" t="inlineStr">
        <is>
          <t>Other</t>
        </is>
      </c>
      <c r="C88" s="20" t="n">
        <v>10000</v>
      </c>
      <c r="D88" s="20" t="n"/>
      <c r="E88" s="33">
        <f>IF(D88="","",D88-C88)</f>
        <v/>
      </c>
      <c r="F88" s="37">
        <f>IF(E88="","",IF(C88=0,"",E88/C88))</f>
        <v/>
      </c>
      <c r="G88" s="13">
        <f>IF(D88="","",IF(F88="","",IF(F88&gt;0.1,"Over budget",IF(F88&lt;-0.1,"Under budget","On track"))))</f>
        <v/>
      </c>
      <c r="H88" s="6" t="n"/>
    </row>
    <row r="89">
      <c r="A89" s="38" t="inlineStr">
        <is>
          <t>FY total</t>
        </is>
      </c>
      <c r="B89" s="24" t="n"/>
      <c r="C89" s="23">
        <f>SUM(C5:C88)</f>
        <v/>
      </c>
      <c r="D89" s="23">
        <f>SUM(D5:D88)</f>
        <v/>
      </c>
      <c r="E89" s="23">
        <f>D89-C89</f>
        <v/>
      </c>
      <c r="F89" s="39">
        <f>IF(C89=0,"",E89/C89)</f>
        <v/>
      </c>
      <c r="G89" s="24" t="n"/>
      <c r="H89" s="41" t="inlineStr">
        <is>
          <t>Actual total covers closed months only — compare with the YTD line in the month summary.</t>
        </is>
      </c>
    </row>
  </sheetData>
  <mergeCells count="2">
    <mergeCell ref="A1:J1"/>
    <mergeCell ref="A2:J2"/>
  </mergeCells>
  <conditionalFormatting sqref="G5:G88">
    <cfRule type="cellIs" priority="1" operator="equal" dxfId="0">
      <formula>"Over budget"</formula>
    </cfRule>
    <cfRule type="cellIs" priority="2" operator="equal" dxfId="2">
      <formula>"Under budget"</formula>
    </cfRule>
    <cfRule type="cellIs" priority="3" operator="equal" dxfId="1">
      <formula>"On track"</formula>
    </cfRule>
  </conditionalFormatting>
  <conditionalFormatting sqref="E5:E88">
    <cfRule type="expression" priority="4" dxfId="3">
      <formula>IF(E5="",FALSE,E5&gt;0)</formula>
    </cfRule>
  </conditionalFormatting>
  <conditionalFormatting sqref="P5:P18">
    <cfRule type="cellIs" priority="5" operator="equal" dxfId="0">
      <formula>"Over budget"</formula>
    </cfRule>
    <cfRule type="cellIs" priority="6" operator="equal" dxfId="2">
      <formula>"Under budget"</formula>
    </cfRule>
    <cfRule type="cellIs" priority="7" operator="equal" dxfId="1">
      <formula>"On track"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Z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30" customWidth="1" min="4" max="4"/>
    <col width="8" customWidth="1" min="5" max="5"/>
    <col width="16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7" customWidth="1" min="24" max="24"/>
    <col width="9" customWidth="1" min="25" max="25"/>
    <col width="30" customWidth="1" min="26" max="26"/>
  </cols>
  <sheetData>
    <row r="1" ht="23" customHeight="1">
      <c r="A1" s="1" t="inlineStr">
        <is>
          <t>KPI Scorecard — the weekly numbers (VSYST v1 KPI tree): one owner enters each row every Monday by 10:00; Last/Trend/Status compute themselves.</t>
        </is>
      </c>
    </row>
    <row r="2" ht="18" customHeight="1">
      <c r="A2" s="2" t="inlineStr">
        <is>
          <t>Goals, red lines and W1–W3 values (grey italic) are illustrative — replace. Fill weeks left-to-right without gaps (Last = last filled week). Percentages as fractions (0.6 = 60%).</t>
        </is>
      </c>
    </row>
    <row r="3">
      <c r="H3" s="42" t="inlineStr">
        <is>
          <t>Week starting →</t>
        </is>
      </c>
      <c r="I3" s="31" t="n">
        <v>46258</v>
      </c>
      <c r="J3" s="43">
        <f>I3+7</f>
        <v/>
      </c>
      <c r="K3" s="43">
        <f>J3+7</f>
        <v/>
      </c>
      <c r="L3" s="43">
        <f>K3+7</f>
        <v/>
      </c>
      <c r="M3" s="43">
        <f>L3+7</f>
        <v/>
      </c>
      <c r="N3" s="43">
        <f>M3+7</f>
        <v/>
      </c>
      <c r="O3" s="43">
        <f>N3+7</f>
        <v/>
      </c>
      <c r="P3" s="43">
        <f>O3+7</f>
        <v/>
      </c>
      <c r="Q3" s="43">
        <f>P3+7</f>
        <v/>
      </c>
      <c r="R3" s="43">
        <f>Q3+7</f>
        <v/>
      </c>
      <c r="S3" s="43">
        <f>R3+7</f>
        <v/>
      </c>
      <c r="T3" s="43">
        <f>S3+7</f>
        <v/>
      </c>
      <c r="U3" s="43">
        <f>T3+7</f>
        <v/>
      </c>
    </row>
    <row r="4" ht="32" customHeight="1">
      <c r="A4" s="3" t="inlineStr">
        <is>
          <t>#</t>
        </is>
      </c>
      <c r="B4" s="3" t="inlineStr">
        <is>
          <t>Metric</t>
        </is>
      </c>
      <c r="C4" s="3" t="inlineStr">
        <is>
          <t>Owner</t>
        </is>
      </c>
      <c r="D4" s="3" t="inlineStr">
        <is>
          <t>Source (query / tool)</t>
        </is>
      </c>
      <c r="E4" s="3" t="inlineStr">
        <is>
          <t>Unit</t>
        </is>
      </c>
      <c r="F4" s="3" t="inlineStr">
        <is>
          <t>Direction</t>
        </is>
      </c>
      <c r="G4" s="3" t="inlineStr">
        <is>
          <t>Goal (Green)</t>
        </is>
      </c>
      <c r="H4" s="3" t="inlineStr">
        <is>
          <t>Red line</t>
        </is>
      </c>
      <c r="I4" s="3" t="inlineStr">
        <is>
          <t>W1</t>
        </is>
      </c>
      <c r="J4" s="3" t="inlineStr">
        <is>
          <t>W2</t>
        </is>
      </c>
      <c r="K4" s="3" t="inlineStr">
        <is>
          <t>W3</t>
        </is>
      </c>
      <c r="L4" s="3" t="inlineStr">
        <is>
          <t>W4</t>
        </is>
      </c>
      <c r="M4" s="3" t="inlineStr">
        <is>
          <t>W5</t>
        </is>
      </c>
      <c r="N4" s="3" t="inlineStr">
        <is>
          <t>W6</t>
        </is>
      </c>
      <c r="O4" s="3" t="inlineStr">
        <is>
          <t>W7</t>
        </is>
      </c>
      <c r="P4" s="3" t="inlineStr">
        <is>
          <t>W8</t>
        </is>
      </c>
      <c r="Q4" s="3" t="inlineStr">
        <is>
          <t>W9</t>
        </is>
      </c>
      <c r="R4" s="3" t="inlineStr">
        <is>
          <t>W10</t>
        </is>
      </c>
      <c r="S4" s="3" t="inlineStr">
        <is>
          <t>W11</t>
        </is>
      </c>
      <c r="T4" s="3" t="inlineStr">
        <is>
          <t>W12</t>
        </is>
      </c>
      <c r="U4" s="3" t="inlineStr">
        <is>
          <t>W13</t>
        </is>
      </c>
      <c r="V4" s="3" t="inlineStr">
        <is>
          <t>Last</t>
        </is>
      </c>
      <c r="W4" s="3" t="inlineStr">
        <is>
          <t>Prev</t>
        </is>
      </c>
      <c r="X4" s="3" t="inlineStr">
        <is>
          <t>Trend</t>
        </is>
      </c>
      <c r="Y4" s="3" t="inlineStr">
        <is>
          <t>Status</t>
        </is>
      </c>
      <c r="Z4" s="3" t="inlineStr">
        <is>
          <t>Notes</t>
        </is>
      </c>
    </row>
    <row r="5">
      <c r="A5" s="7" t="inlineStr">
        <is>
          <t>PIPELINE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4" t="n">
        <v>1</v>
      </c>
      <c r="B6" s="6" t="inlineStr">
        <is>
          <t>New leads (dealers) this week</t>
        </is>
      </c>
      <c r="C6" s="29" t="inlineStr">
        <is>
          <t>Domain director</t>
        </is>
      </c>
      <c r="D6" s="44" t="inlineStr">
        <is>
          <t>ERPNext CRM (Lead)</t>
        </is>
      </c>
      <c r="E6" s="4" t="inlineStr">
        <is>
          <t>count</t>
        </is>
      </c>
      <c r="F6" s="29" t="inlineStr">
        <is>
          <t>Higher is better</t>
        </is>
      </c>
      <c r="G6" s="45" t="n">
        <v>5</v>
      </c>
      <c r="H6" s="45" t="n">
        <v>2</v>
      </c>
      <c r="I6" s="45" t="n">
        <v>4</v>
      </c>
      <c r="J6" s="45" t="n">
        <v>6</v>
      </c>
      <c r="K6" s="45" t="n">
        <v>3</v>
      </c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7">
        <f>IF(COUNTA(I6:U6)=0,"",INDEX(I6:U6,1,COUNTA(I6:U6)))</f>
        <v/>
      </c>
      <c r="W6" s="48">
        <f>IF(COUNTA(I6:U6)&lt;2,"",INDEX(I6:U6,1,COUNTA(I6:U6)-1))</f>
        <v/>
      </c>
      <c r="X6" s="49">
        <f>IF(W6="","",IF(V6&gt;W6,"▲",IF(V6&lt;W6,"▼","►")))</f>
        <v/>
      </c>
      <c r="Y6" s="49">
        <f>IF(V6="","",IF(G6="","",IF(F6="Higher is better",IF(V6&gt;=G6,"Green",IF(H6="","Amber",IF(V6&lt;H6,"Red","Amber"))),IF(V6&lt;=G6,"Green",IF(H6="","Amber",IF(V6&gt;H6,"Red","Amber"))))))</f>
        <v/>
      </c>
      <c r="Z6" s="6" t="n"/>
    </row>
    <row r="7">
      <c r="A7" s="4" t="n">
        <v>2</v>
      </c>
      <c r="B7" s="6" t="inlineStr">
        <is>
          <t>Demos done</t>
        </is>
      </c>
      <c r="C7" s="29" t="inlineStr">
        <is>
          <t>Domain director</t>
        </is>
      </c>
      <c r="D7" s="44" t="inlineStr">
        <is>
          <t>ERPNext CRM (Opportunity)</t>
        </is>
      </c>
      <c r="E7" s="4" t="inlineStr">
        <is>
          <t>count</t>
        </is>
      </c>
      <c r="F7" s="29" t="inlineStr">
        <is>
          <t>Higher is better</t>
        </is>
      </c>
      <c r="G7" s="45" t="n">
        <v>2</v>
      </c>
      <c r="H7" s="45" t="n">
        <v>1</v>
      </c>
      <c r="I7" s="45" t="n">
        <v>1</v>
      </c>
      <c r="J7" s="45" t="n">
        <v>2</v>
      </c>
      <c r="K7" s="45" t="n">
        <v>2</v>
      </c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7">
        <f>IF(COUNTA(I7:U7)=0,"",INDEX(I7:U7,1,COUNTA(I7:U7)))</f>
        <v/>
      </c>
      <c r="W7" s="48">
        <f>IF(COUNTA(I7:U7)&lt;2,"",INDEX(I7:U7,1,COUNTA(I7:U7)-1))</f>
        <v/>
      </c>
      <c r="X7" s="49">
        <f>IF(W7="","",IF(V7&gt;W7,"▲",IF(V7&lt;W7,"▼","►")))</f>
        <v/>
      </c>
      <c r="Y7" s="49">
        <f>IF(V7="","",IF(G7="","",IF(F7="Higher is better",IF(V7&gt;=G7,"Green",IF(H7="","Amber",IF(V7&lt;H7,"Red","Amber"))),IF(V7&lt;=G7,"Green",IF(H7="","Amber",IF(V7&gt;H7,"Red","Amber"))))))</f>
        <v/>
      </c>
      <c r="Z7" s="6" t="n"/>
    </row>
    <row r="8">
      <c r="A8" s="4" t="n">
        <v>3</v>
      </c>
      <c r="B8" s="6" t="inlineStr">
        <is>
          <t>Pilots started</t>
        </is>
      </c>
      <c r="C8" s="29" t="inlineStr">
        <is>
          <t>COO</t>
        </is>
      </c>
      <c r="D8" s="44" t="inlineStr">
        <is>
          <t>ERPNext CRM / onboarding sheet</t>
        </is>
      </c>
      <c r="E8" s="4" t="inlineStr">
        <is>
          <t>count</t>
        </is>
      </c>
      <c r="F8" s="29" t="inlineStr">
        <is>
          <t>Higher is better</t>
        </is>
      </c>
      <c r="G8" s="45" t="n">
        <v>1</v>
      </c>
      <c r="H8" s="45" t="n">
        <v>0</v>
      </c>
      <c r="I8" s="45" t="n">
        <v>0</v>
      </c>
      <c r="J8" s="45" t="n">
        <v>1</v>
      </c>
      <c r="K8" s="45" t="n">
        <v>1</v>
      </c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7">
        <f>IF(COUNTA(I8:U8)=0,"",INDEX(I8:U8,1,COUNTA(I8:U8)))</f>
        <v/>
      </c>
      <c r="W8" s="48">
        <f>IF(COUNTA(I8:U8)&lt;2,"",INDEX(I8:U8,1,COUNTA(I8:U8)-1))</f>
        <v/>
      </c>
      <c r="X8" s="49">
        <f>IF(W8="","",IF(V8&gt;W8,"▲",IF(V8&lt;W8,"▼","►")))</f>
        <v/>
      </c>
      <c r="Y8" s="49">
        <f>IF(V8="","",IF(G8="","",IF(F8="Higher is better",IF(V8&gt;=G8,"Green",IF(H8="","Amber",IF(V8&lt;H8,"Red","Amber"))),IF(V8&lt;=G8,"Green",IF(H8="","Amber",IF(V8&gt;H8,"Red","Amber"))))))</f>
        <v/>
      </c>
      <c r="Z8" s="6" t="n"/>
    </row>
    <row r="9">
      <c r="A9" s="4" t="n">
        <v>4</v>
      </c>
      <c r="B9" s="6" t="inlineStr">
        <is>
          <t>Paying dealer tenants (North Star, cumulative)</t>
        </is>
      </c>
      <c r="C9" s="29" t="inlineStr">
        <is>
          <t>COO</t>
        </is>
      </c>
      <c r="D9" s="44" t="inlineStr">
        <is>
          <t>Mongo: tenants where plan = paid</t>
        </is>
      </c>
      <c r="E9" s="4" t="inlineStr">
        <is>
          <t>count</t>
        </is>
      </c>
      <c r="F9" s="29" t="inlineStr">
        <is>
          <t>Higher is better</t>
        </is>
      </c>
      <c r="G9" s="45" t="n">
        <v>5</v>
      </c>
      <c r="H9" s="45" t="n">
        <v>2</v>
      </c>
      <c r="I9" s="45" t="n">
        <v>0</v>
      </c>
      <c r="J9" s="45" t="n">
        <v>0</v>
      </c>
      <c r="K9" s="45" t="n">
        <v>0</v>
      </c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7">
        <f>IF(COUNTA(I9:U9)=0,"",INDEX(I9:U9,1,COUNTA(I9:U9)))</f>
        <v/>
      </c>
      <c r="W9" s="48">
        <f>IF(COUNTA(I9:U9)&lt;2,"",INDEX(I9:U9,1,COUNTA(I9:U9)-1))</f>
        <v/>
      </c>
      <c r="X9" s="49">
        <f>IF(W9="","",IF(V9&gt;W9,"▲",IF(V9&lt;W9,"▼","►")))</f>
        <v/>
      </c>
      <c r="Y9" s="49">
        <f>IF(V9="","",IF(G9="","",IF(F9="Higher is better",IF(V9&gt;=G9,"Green",IF(H9="","Amber",IF(V9&lt;H9,"Red","Amber"))),IF(V9&lt;=G9,"Green",IF(H9="","Amber",IF(V9&gt;H9,"Red","Amber"))))))</f>
        <v/>
      </c>
      <c r="Z9" s="6" t="n"/>
    </row>
    <row r="10">
      <c r="A10" s="7" t="inlineStr">
        <is>
          <t>ACTIVATION &amp; USAGE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4" t="n">
        <v>5</v>
      </c>
      <c r="B11" s="6" t="inlineStr">
        <is>
          <t>Weekly active tenants (≥1 order or invoice in week)</t>
        </is>
      </c>
      <c r="C11" s="29" t="inlineStr">
        <is>
          <t>COO</t>
        </is>
      </c>
      <c r="D11" s="44" t="inlineStr">
        <is>
          <t>Mongo query: orders/invoices by tenant</t>
        </is>
      </c>
      <c r="E11" s="4" t="inlineStr">
        <is>
          <t>count</t>
        </is>
      </c>
      <c r="F11" s="29" t="inlineStr">
        <is>
          <t>Higher is better</t>
        </is>
      </c>
      <c r="G11" s="45" t="n">
        <v>6</v>
      </c>
      <c r="H11" s="45" t="n">
        <v>3</v>
      </c>
      <c r="I11" s="45" t="n">
        <v>3</v>
      </c>
      <c r="J11" s="45" t="n">
        <v>4</v>
      </c>
      <c r="K11" s="45" t="n">
        <v>4</v>
      </c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7">
        <f>IF(COUNTA(I11:U11)=0,"",INDEX(I11:U11,1,COUNTA(I11:U11)))</f>
        <v/>
      </c>
      <c r="W11" s="48">
        <f>IF(COUNTA(I11:U11)&lt;2,"",INDEX(I11:U11,1,COUNTA(I11:U11)-1))</f>
        <v/>
      </c>
      <c r="X11" s="49">
        <f>IF(W11="","",IF(V11&gt;W11,"▲",IF(V11&lt;W11,"▼","►")))</f>
        <v/>
      </c>
      <c r="Y11" s="49">
        <f>IF(V11="","",IF(G11="","",IF(F11="Higher is better",IF(V11&gt;=G11,"Green",IF(H11="","Amber",IF(V11&lt;H11,"Red","Amber"))),IF(V11&lt;=G11,"Green",IF(H11="","Amber",IF(V11&gt;H11,"Red","Amber"))))))</f>
        <v/>
      </c>
      <c r="Z11" s="6" t="n"/>
    </row>
    <row r="12">
      <c r="A12" s="4" t="n">
        <v>6</v>
      </c>
      <c r="B12" s="6" t="inlineStr">
        <is>
          <t>Activation rate (≥1 customer linked &amp; ≥1 invoice within 14 days)</t>
        </is>
      </c>
      <c r="C12" s="29" t="inlineStr">
        <is>
          <t>Support/Ops</t>
        </is>
      </c>
      <c r="D12" s="44" t="inlineStr">
        <is>
          <t>Mongo query: cohort of new tenants</t>
        </is>
      </c>
      <c r="E12" s="4" t="inlineStr">
        <is>
          <t>%</t>
        </is>
      </c>
      <c r="F12" s="29" t="inlineStr">
        <is>
          <t>Higher is better</t>
        </is>
      </c>
      <c r="G12" s="50" t="n">
        <v>0.6</v>
      </c>
      <c r="H12" s="50" t="n">
        <v>0.4</v>
      </c>
      <c r="I12" s="50" t="n">
        <v>0.5</v>
      </c>
      <c r="J12" s="50" t="n">
        <v>0.5</v>
      </c>
      <c r="K12" s="50" t="n">
        <v>0.67</v>
      </c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39">
        <f>IF(COUNTA(I12:U12)=0,"",INDEX(I12:U12,1,COUNTA(I12:U12)))</f>
        <v/>
      </c>
      <c r="W12" s="37">
        <f>IF(COUNTA(I12:U12)&lt;2,"",INDEX(I12:U12,1,COUNTA(I12:U12)-1))</f>
        <v/>
      </c>
      <c r="X12" s="49">
        <f>IF(W12="","",IF(V12&gt;W12,"▲",IF(V12&lt;W12,"▼","►")))</f>
        <v/>
      </c>
      <c r="Y12" s="49">
        <f>IF(V12="","",IF(G12="","",IF(F12="Higher is better",IF(V12&gt;=G12,"Green",IF(H12="","Amber",IF(V12&lt;H12,"Red","Amber"))),IF(V12&lt;=G12,"Green",IF(H12="","Amber",IF(V12&gt;H12,"Red","Amber"))))))</f>
        <v/>
      </c>
      <c r="Z12" s="6" t="n"/>
    </row>
    <row r="13">
      <c r="A13" s="4" t="n">
        <v>7</v>
      </c>
      <c r="B13" s="6" t="inlineStr">
        <is>
          <t>Invoices through DZZLO / week</t>
        </is>
      </c>
      <c r="C13" s="29" t="inlineStr">
        <is>
          <t>Support/Ops</t>
        </is>
      </c>
      <c r="D13" s="44" t="inlineStr">
        <is>
          <t>Mongo: invoices collection</t>
        </is>
      </c>
      <c r="E13" s="4" t="inlineStr">
        <is>
          <t>count</t>
        </is>
      </c>
      <c r="F13" s="29" t="inlineStr">
        <is>
          <t>Higher is better</t>
        </is>
      </c>
      <c r="G13" s="45" t="n">
        <v>40</v>
      </c>
      <c r="H13" s="45" t="n">
        <v>20</v>
      </c>
      <c r="I13" s="45" t="n">
        <v>28</v>
      </c>
      <c r="J13" s="45" t="n">
        <v>35</v>
      </c>
      <c r="K13" s="45" t="n">
        <v>31</v>
      </c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7">
        <f>IF(COUNTA(I13:U13)=0,"",INDEX(I13:U13,1,COUNTA(I13:U13)))</f>
        <v/>
      </c>
      <c r="W13" s="48">
        <f>IF(COUNTA(I13:U13)&lt;2,"",INDEX(I13:U13,1,COUNTA(I13:U13)-1))</f>
        <v/>
      </c>
      <c r="X13" s="49">
        <f>IF(W13="","",IF(V13&gt;W13,"▲",IF(V13&lt;W13,"▼","►")))</f>
        <v/>
      </c>
      <c r="Y13" s="49">
        <f>IF(V13="","",IF(G13="","",IF(F13="Higher is better",IF(V13&gt;=G13,"Green",IF(H13="","Amber",IF(V13&lt;H13,"Red","Amber"))),IF(V13&lt;=G13,"Green",IF(H13="","Amber",IF(V13&gt;H13,"Red","Amber"))))))</f>
        <v/>
      </c>
      <c r="Z13" s="6" t="n"/>
    </row>
    <row r="14">
      <c r="A14" s="4" t="n">
        <v>8</v>
      </c>
      <c r="B14" s="6" t="inlineStr">
        <is>
          <t>Rate-confirmation rate (dealers confirming in 10 PM–6 AM window)</t>
        </is>
      </c>
      <c r="C14" s="29" t="inlineStr">
        <is>
          <t>Support/Ops</t>
        </is>
      </c>
      <c r="D14" s="44" t="inlineStr">
        <is>
          <t>Mongo: rate confirmations ÷ active dealers</t>
        </is>
      </c>
      <c r="E14" s="4" t="inlineStr">
        <is>
          <t>%</t>
        </is>
      </c>
      <c r="F14" s="29" t="inlineStr">
        <is>
          <t>Higher is better</t>
        </is>
      </c>
      <c r="G14" s="50" t="n">
        <v>0.9</v>
      </c>
      <c r="H14" s="50" t="n">
        <v>0.7</v>
      </c>
      <c r="I14" s="50" t="n">
        <v>0.8</v>
      </c>
      <c r="J14" s="50" t="n">
        <v>0.85</v>
      </c>
      <c r="K14" s="50" t="n">
        <v>0.75</v>
      </c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39">
        <f>IF(COUNTA(I14:U14)=0,"",INDEX(I14:U14,1,COUNTA(I14:U14)))</f>
        <v/>
      </c>
      <c r="W14" s="37">
        <f>IF(COUNTA(I14:U14)&lt;2,"",INDEX(I14:U14,1,COUNTA(I14:U14)-1))</f>
        <v/>
      </c>
      <c r="X14" s="49">
        <f>IF(W14="","",IF(V14&gt;W14,"▲",IF(V14&lt;W14,"▼","►")))</f>
        <v/>
      </c>
      <c r="Y14" s="49">
        <f>IF(V14="","",IF(G14="","",IF(F14="Higher is better",IF(V14&gt;=G14,"Green",IF(H14="","Amber",IF(V14&lt;H14,"Red","Amber"))),IF(V14&lt;=G14,"Green",IF(H14="","Amber",IF(V14&gt;H14,"Red","Amber"))))))</f>
        <v/>
      </c>
      <c r="Z14" s="6" t="n"/>
    </row>
    <row r="15">
      <c r="A15" s="4" t="n">
        <v>9</v>
      </c>
      <c r="B15" s="6" t="inlineStr">
        <is>
          <t>Logo churn (tenants inactive 30+ days, this week)</t>
        </is>
      </c>
      <c r="C15" s="29" t="inlineStr">
        <is>
          <t>COO</t>
        </is>
      </c>
      <c r="D15" s="44" t="inlineStr">
        <is>
          <t>Mongo query: last activity</t>
        </is>
      </c>
      <c r="E15" s="4" t="inlineStr">
        <is>
          <t>count</t>
        </is>
      </c>
      <c r="F15" s="29" t="inlineStr">
        <is>
          <t>Lower is better</t>
        </is>
      </c>
      <c r="G15" s="45" t="n">
        <v>0</v>
      </c>
      <c r="H15" s="45" t="n">
        <v>1</v>
      </c>
      <c r="I15" s="45" t="n">
        <v>0</v>
      </c>
      <c r="J15" s="45" t="n">
        <v>0</v>
      </c>
      <c r="K15" s="45" t="n">
        <v>0</v>
      </c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7">
        <f>IF(COUNTA(I15:U15)=0,"",INDEX(I15:U15,1,COUNTA(I15:U15)))</f>
        <v/>
      </c>
      <c r="W15" s="48">
        <f>IF(COUNTA(I15:U15)&lt;2,"",INDEX(I15:U15,1,COUNTA(I15:U15)-1))</f>
        <v/>
      </c>
      <c r="X15" s="49">
        <f>IF(W15="","",IF(V15&gt;W15,"▲",IF(V15&lt;W15,"▼","►")))</f>
        <v/>
      </c>
      <c r="Y15" s="49">
        <f>IF(V15="","",IF(G15="","",IF(F15="Higher is better",IF(V15&gt;=G15,"Green",IF(H15="","Amber",IF(V15&lt;H15,"Red","Amber"))),IF(V15&lt;=G15,"Green",IF(H15="","Amber",IF(V15&gt;H15,"Red","Amber"))))))</f>
        <v/>
      </c>
      <c r="Z15" s="6" t="n"/>
    </row>
    <row r="16">
      <c r="A16" s="7" t="inlineStr">
        <is>
          <t>REVENUE &amp; CASH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4" t="n">
        <v>10</v>
      </c>
      <c r="B17" s="6" t="inlineStr">
        <is>
          <t>MRR (₹) — once priced</t>
        </is>
      </c>
      <c r="C17" s="29" t="inlineStr">
        <is>
          <t>CEO/CTO</t>
        </is>
      </c>
      <c r="D17" s="44" t="inlineStr">
        <is>
          <t>ERPNext subscriptions / invoices</t>
        </is>
      </c>
      <c r="E17" s="4" t="inlineStr">
        <is>
          <t>₹</t>
        </is>
      </c>
      <c r="F17" s="29" t="inlineStr">
        <is>
          <t>Higher is better</t>
        </is>
      </c>
      <c r="G17" s="20" t="n"/>
      <c r="H17" s="20" t="n"/>
      <c r="I17" s="20" t="n">
        <v>0</v>
      </c>
      <c r="J17" s="20" t="n">
        <v>0</v>
      </c>
      <c r="K17" s="20" t="n">
        <v>0</v>
      </c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23">
        <f>IF(COUNTA(I17:U17)=0,"",INDEX(I17:U17,1,COUNTA(I17:U17)))</f>
        <v/>
      </c>
      <c r="W17" s="33">
        <f>IF(COUNTA(I17:U17)&lt;2,"",INDEX(I17:U17,1,COUNTA(I17:U17)-1))</f>
        <v/>
      </c>
      <c r="X17" s="49">
        <f>IF(W17="","",IF(V17&gt;W17,"▲",IF(V17&lt;W17,"▼","►")))</f>
        <v/>
      </c>
      <c r="Y17" s="49">
        <f>IF(V17="","",IF(G17="","",IF(F17="Higher is better",IF(V17&gt;=G17,"Green",IF(H17="","Amber",IF(V17&lt;H17,"Red","Amber"))),IF(V17&lt;=G17,"Green",IF(H17="","Amber",IF(V17&gt;H17,"Red","Amber"))))))</f>
        <v/>
      </c>
      <c r="Z17" s="6" t="n"/>
    </row>
    <row r="18">
      <c r="A18" s="4" t="n">
        <v>11</v>
      </c>
      <c r="B18" s="6" t="inlineStr">
        <is>
          <t>Collections this week (₹)</t>
        </is>
      </c>
      <c r="C18" s="29" t="inlineStr">
        <is>
          <t>COO</t>
        </is>
      </c>
      <c r="D18" s="44" t="inlineStr">
        <is>
          <t>Bank statement / ERPNext payments</t>
        </is>
      </c>
      <c r="E18" s="4" t="inlineStr">
        <is>
          <t>₹</t>
        </is>
      </c>
      <c r="F18" s="29" t="inlineStr">
        <is>
          <t>Higher is better</t>
        </is>
      </c>
      <c r="G18" s="20" t="n"/>
      <c r="H18" s="20" t="n"/>
      <c r="I18" s="20" t="n">
        <v>0</v>
      </c>
      <c r="J18" s="20" t="n">
        <v>0</v>
      </c>
      <c r="K18" s="20" t="n">
        <v>0</v>
      </c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23">
        <f>IF(COUNTA(I18:U18)=0,"",INDEX(I18:U18,1,COUNTA(I18:U18)))</f>
        <v/>
      </c>
      <c r="W18" s="33">
        <f>IF(COUNTA(I18:U18)&lt;2,"",INDEX(I18:U18,1,COUNTA(I18:U18)-1))</f>
        <v/>
      </c>
      <c r="X18" s="49">
        <f>IF(W18="","",IF(V18&gt;W18,"▲",IF(V18&lt;W18,"▼","►")))</f>
        <v/>
      </c>
      <c r="Y18" s="49">
        <f>IF(V18="","",IF(G18="","",IF(F18="Higher is better",IF(V18&gt;=G18,"Green",IF(H18="","Amber",IF(V18&lt;H18,"Red","Amber"))),IF(V18&lt;=G18,"Green",IF(H18="","Amber",IF(V18&gt;H18,"Red","Amber"))))))</f>
        <v/>
      </c>
      <c r="Z18" s="6" t="n"/>
    </row>
    <row r="19">
      <c r="A19" s="4" t="n">
        <v>12</v>
      </c>
      <c r="B19" s="6" t="inlineStr">
        <is>
          <t>DSO (days sales outstanding) — once invoicing</t>
        </is>
      </c>
      <c r="C19" s="29" t="inlineStr">
        <is>
          <t>COO</t>
        </is>
      </c>
      <c r="D19" s="44" t="inlineStr">
        <is>
          <t>ERPNext AR ageing</t>
        </is>
      </c>
      <c r="E19" s="4" t="inlineStr">
        <is>
          <t>days</t>
        </is>
      </c>
      <c r="F19" s="29" t="inlineStr">
        <is>
          <t>Lower is better</t>
        </is>
      </c>
      <c r="G19" s="53" t="n">
        <v>30</v>
      </c>
      <c r="H19" s="53" t="n">
        <v>45</v>
      </c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25">
        <f>IF(COUNTA(I19:U19)=0,"",INDEX(I19:U19,1,COUNTA(I19:U19)))</f>
        <v/>
      </c>
      <c r="W19" s="55">
        <f>IF(COUNTA(I19:U19)&lt;2,"",INDEX(I19:U19,1,COUNTA(I19:U19)-1))</f>
        <v/>
      </c>
      <c r="X19" s="49">
        <f>IF(W19="","",IF(V19&gt;W19,"▲",IF(V19&lt;W19,"▼","►")))</f>
        <v/>
      </c>
      <c r="Y19" s="49">
        <f>IF(V19="","",IF(G19="","",IF(F19="Higher is better",IF(V19&gt;=G19,"Green",IF(H19="","Amber",IF(V19&lt;H19,"Red","Amber"))),IF(V19&lt;=G19,"Green",IF(H19="","Amber",IF(V19&gt;H19,"Red","Amber"))))))</f>
        <v/>
      </c>
      <c r="Z19" s="6" t="n"/>
    </row>
    <row r="20">
      <c r="A20" s="7" t="inlineStr">
        <is>
          <t>SUPPORT &amp; RELIABILITY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4" t="n">
        <v>13</v>
      </c>
      <c r="B21" s="6" t="inlineStr">
        <is>
          <t>Support first-response time (hours, median)</t>
        </is>
      </c>
      <c r="C21" s="29" t="inlineStr">
        <is>
          <t>Support/Ops</t>
        </is>
      </c>
      <c r="D21" s="44" t="inlineStr">
        <is>
          <t>Frappe Helpdesk / WhatsApp log</t>
        </is>
      </c>
      <c r="E21" s="4" t="inlineStr">
        <is>
          <t>hours</t>
        </is>
      </c>
      <c r="F21" s="29" t="inlineStr">
        <is>
          <t>Lower is better</t>
        </is>
      </c>
      <c r="G21" s="53" t="n">
        <v>2</v>
      </c>
      <c r="H21" s="53" t="n">
        <v>6</v>
      </c>
      <c r="I21" s="53" t="n">
        <v>3.5</v>
      </c>
      <c r="J21" s="53" t="n">
        <v>2.5</v>
      </c>
      <c r="K21" s="53" t="n">
        <v>1.8</v>
      </c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25">
        <f>IF(COUNTA(I21:U21)=0,"",INDEX(I21:U21,1,COUNTA(I21:U21)))</f>
        <v/>
      </c>
      <c r="W21" s="55">
        <f>IF(COUNTA(I21:U21)&lt;2,"",INDEX(I21:U21,1,COUNTA(I21:U21)-1))</f>
        <v/>
      </c>
      <c r="X21" s="49">
        <f>IF(W21="","",IF(V21&gt;W21,"▲",IF(V21&lt;W21,"▼","►")))</f>
        <v/>
      </c>
      <c r="Y21" s="49">
        <f>IF(V21="","",IF(G21="","",IF(F21="Higher is better",IF(V21&gt;=G21,"Green",IF(H21="","Amber",IF(V21&lt;H21,"Red","Amber"))),IF(V21&lt;=G21,"Green",IF(H21="","Amber",IF(V21&gt;H21,"Red","Amber"))))))</f>
        <v/>
      </c>
      <c r="Z21" s="6" t="n"/>
    </row>
    <row r="22">
      <c r="A22" s="4" t="n">
        <v>14</v>
      </c>
      <c r="B22" s="6" t="inlineStr">
        <is>
          <t>Support resolution time (hours, median)</t>
        </is>
      </c>
      <c r="C22" s="29" t="inlineStr">
        <is>
          <t>Support/Ops</t>
        </is>
      </c>
      <c r="D22" s="44" t="inlineStr">
        <is>
          <t>Frappe Helpdesk</t>
        </is>
      </c>
      <c r="E22" s="4" t="inlineStr">
        <is>
          <t>hours</t>
        </is>
      </c>
      <c r="F22" s="29" t="inlineStr">
        <is>
          <t>Lower is better</t>
        </is>
      </c>
      <c r="G22" s="53" t="n">
        <v>24</v>
      </c>
      <c r="H22" s="53" t="n">
        <v>48</v>
      </c>
      <c r="I22" s="53" t="n">
        <v>30</v>
      </c>
      <c r="J22" s="53" t="n">
        <v>22</v>
      </c>
      <c r="K22" s="53" t="n">
        <v>20</v>
      </c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25">
        <f>IF(COUNTA(I22:U22)=0,"",INDEX(I22:U22,1,COUNTA(I22:U22)))</f>
        <v/>
      </c>
      <c r="W22" s="55">
        <f>IF(COUNTA(I22:U22)&lt;2,"",INDEX(I22:U22,1,COUNTA(I22:U22)-1))</f>
        <v/>
      </c>
      <c r="X22" s="49">
        <f>IF(W22="","",IF(V22&gt;W22,"▲",IF(V22&lt;W22,"▼","►")))</f>
        <v/>
      </c>
      <c r="Y22" s="49">
        <f>IF(V22="","",IF(G22="","",IF(F22="Higher is better",IF(V22&gt;=G22,"Green",IF(H22="","Amber",IF(V22&lt;H22,"Red","Amber"))),IF(V22&lt;=G22,"Green",IF(H22="","Amber",IF(V22&gt;H22,"Red","Amber"))))))</f>
        <v/>
      </c>
      <c r="Z22" s="6" t="n"/>
    </row>
    <row r="23">
      <c r="A23" s="4" t="n">
        <v>15</v>
      </c>
      <c r="B23" s="6" t="inlineStr">
        <is>
          <t>API uptime %</t>
        </is>
      </c>
      <c r="C23" s="29" t="inlineStr">
        <is>
          <t>CEO/CTO</t>
        </is>
      </c>
      <c r="D23" s="44" t="inlineStr">
        <is>
          <t>UptimeRobot / Better Stack</t>
        </is>
      </c>
      <c r="E23" s="4" t="inlineStr">
        <is>
          <t>%</t>
        </is>
      </c>
      <c r="F23" s="29" t="inlineStr">
        <is>
          <t>Higher is better</t>
        </is>
      </c>
      <c r="G23" s="50" t="n">
        <v>0.999</v>
      </c>
      <c r="H23" s="50" t="n">
        <v>0.99</v>
      </c>
      <c r="I23" s="50" t="n">
        <v>0.9995000000000001</v>
      </c>
      <c r="J23" s="50" t="n">
        <v>0.998</v>
      </c>
      <c r="K23" s="50" t="n">
        <v>0.9998</v>
      </c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39">
        <f>IF(COUNTA(I23:U23)=0,"",INDEX(I23:U23,1,COUNTA(I23:U23)))</f>
        <v/>
      </c>
      <c r="W23" s="37">
        <f>IF(COUNTA(I23:U23)&lt;2,"",INDEX(I23:U23,1,COUNTA(I23:U23)-1))</f>
        <v/>
      </c>
      <c r="X23" s="49">
        <f>IF(W23="","",IF(V23&gt;W23,"▲",IF(V23&lt;W23,"▼","►")))</f>
        <v/>
      </c>
      <c r="Y23" s="49">
        <f>IF(V23="","",IF(G23="","",IF(F23="Higher is better",IF(V23&gt;=G23,"Green",IF(H23="","Amber",IF(V23&lt;H23,"Red","Amber"))),IF(V23&lt;=G23,"Green",IF(H23="","Amber",IF(V23&gt;H23,"Red","Amber"))))))</f>
        <v/>
      </c>
      <c r="Z23" s="6" t="n"/>
    </row>
    <row r="24">
      <c r="A24" s="4" t="n">
        <v>16</v>
      </c>
      <c r="B24" s="6" t="inlineStr">
        <is>
          <t>Incidents (P1 + P2) this week</t>
        </is>
      </c>
      <c r="C24" s="29" t="inlineStr">
        <is>
          <t>CEO/CTO</t>
        </is>
      </c>
      <c r="D24" s="44" t="inlineStr">
        <is>
          <t>Incident log (T17)</t>
        </is>
      </c>
      <c r="E24" s="4" t="inlineStr">
        <is>
          <t>count</t>
        </is>
      </c>
      <c r="F24" s="29" t="inlineStr">
        <is>
          <t>Lower is better</t>
        </is>
      </c>
      <c r="G24" s="45" t="n">
        <v>0</v>
      </c>
      <c r="H24" s="45" t="n">
        <v>1</v>
      </c>
      <c r="I24" s="45" t="n">
        <v>0</v>
      </c>
      <c r="J24" s="45" t="n">
        <v>1</v>
      </c>
      <c r="K24" s="45" t="n">
        <v>0</v>
      </c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7">
        <f>IF(COUNTA(I24:U24)=0,"",INDEX(I24:U24,1,COUNTA(I24:U24)))</f>
        <v/>
      </c>
      <c r="W24" s="48">
        <f>IF(COUNTA(I24:U24)&lt;2,"",INDEX(I24:U24,1,COUNTA(I24:U24)-1))</f>
        <v/>
      </c>
      <c r="X24" s="49">
        <f>IF(W24="","",IF(V24&gt;W24,"▲",IF(V24&lt;W24,"▼","►")))</f>
        <v/>
      </c>
      <c r="Y24" s="49">
        <f>IF(V24="","",IF(G24="","",IF(F24="Higher is better",IF(V24&gt;=G24,"Green",IF(H24="","Amber",IF(V24&lt;H24,"Red","Amber"))),IF(V24&lt;=G24,"Green",IF(H24="","Amber",IF(V24&gt;H24,"Red","Amber"))))))</f>
        <v/>
      </c>
      <c r="Z24" s="6" t="n"/>
    </row>
    <row r="25">
      <c r="A25" s="4" t="n">
        <v>17</v>
      </c>
      <c r="B25" s="6" t="inlineStr">
        <is>
          <t>OTP delivery rate (2Factor.in)</t>
        </is>
      </c>
      <c r="C25" s="29" t="inlineStr">
        <is>
          <t>Developer</t>
        </is>
      </c>
      <c r="D25" s="44" t="inlineStr">
        <is>
          <t>2Factor dashboard</t>
        </is>
      </c>
      <c r="E25" s="4" t="inlineStr">
        <is>
          <t>%</t>
        </is>
      </c>
      <c r="F25" s="29" t="inlineStr">
        <is>
          <t>Higher is better</t>
        </is>
      </c>
      <c r="G25" s="50" t="n">
        <v>0.98</v>
      </c>
      <c r="H25" s="50" t="n">
        <v>0.95</v>
      </c>
      <c r="I25" s="50" t="n">
        <v>0.97</v>
      </c>
      <c r="J25" s="50" t="n">
        <v>0.98</v>
      </c>
      <c r="K25" s="50" t="n">
        <v>0.99</v>
      </c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39">
        <f>IF(COUNTA(I25:U25)=0,"",INDEX(I25:U25,1,COUNTA(I25:U25)))</f>
        <v/>
      </c>
      <c r="W25" s="37">
        <f>IF(COUNTA(I25:U25)&lt;2,"",INDEX(I25:U25,1,COUNTA(I25:U25)-1))</f>
        <v/>
      </c>
      <c r="X25" s="49">
        <f>IF(W25="","",IF(V25&gt;W25,"▲",IF(V25&lt;W25,"▼","►")))</f>
        <v/>
      </c>
      <c r="Y25" s="49">
        <f>IF(V25="","",IF(G25="","",IF(F25="Higher is better",IF(V25&gt;=G25,"Green",IF(H25="","Amber",IF(V25&lt;H25,"Red","Amber"))),IF(V25&lt;=G25,"Green",IF(H25="","Amber",IF(V25&gt;H25,"Red","Amber"))))))</f>
        <v/>
      </c>
      <c r="Z25" s="6" t="n"/>
    </row>
    <row r="26">
      <c r="A26" s="4" t="n">
        <v>18</v>
      </c>
      <c r="B26" s="6" t="inlineStr">
        <is>
          <t>Push delivery rate (OneSignal)</t>
        </is>
      </c>
      <c r="C26" s="29" t="inlineStr">
        <is>
          <t>Developer</t>
        </is>
      </c>
      <c r="D26" s="44" t="inlineStr">
        <is>
          <t>OneSignal dashboard</t>
        </is>
      </c>
      <c r="E26" s="4" t="inlineStr">
        <is>
          <t>%</t>
        </is>
      </c>
      <c r="F26" s="29" t="inlineStr">
        <is>
          <t>Higher is better</t>
        </is>
      </c>
      <c r="G26" s="50" t="n">
        <v>0.95</v>
      </c>
      <c r="H26" s="50" t="n">
        <v>0.9</v>
      </c>
      <c r="I26" s="50" t="n">
        <v>0.9399999999999999</v>
      </c>
      <c r="J26" s="50" t="n">
        <v>0.96</v>
      </c>
      <c r="K26" s="50" t="n">
        <v>0.95</v>
      </c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39">
        <f>IF(COUNTA(I26:U26)=0,"",INDEX(I26:U26,1,COUNTA(I26:U26)))</f>
        <v/>
      </c>
      <c r="W26" s="37">
        <f>IF(COUNTA(I26:U26)&lt;2,"",INDEX(I26:U26,1,COUNTA(I26:U26)-1))</f>
        <v/>
      </c>
      <c r="X26" s="49">
        <f>IF(W26="","",IF(V26&gt;W26,"▲",IF(V26&lt;W26,"▼","►")))</f>
        <v/>
      </c>
      <c r="Y26" s="49">
        <f>IF(V26="","",IF(G26="","",IF(F26="Higher is better",IF(V26&gt;=G26,"Green",IF(H26="","Amber",IF(V26&lt;H26,"Red","Amber"))),IF(V26&lt;=G26,"Green",IF(H26="","Amber",IF(V26&gt;H26,"Red","Amber"))))))</f>
        <v/>
      </c>
      <c r="Z26" s="6" t="n"/>
    </row>
    <row r="27">
      <c r="A27" s="7" t="inlineStr">
        <is>
          <t>BURN, COST &amp; TEAM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4" t="n">
        <v>19</v>
      </c>
      <c r="B28" s="6" t="inlineStr">
        <is>
          <t>Net burn this month (₹) — from Runway tab</t>
        </is>
      </c>
      <c r="C28" s="29" t="inlineStr">
        <is>
          <t>COO</t>
        </is>
      </c>
      <c r="D28" s="44" t="inlineStr">
        <is>
          <t>Runway &amp; 13-Week Cash · B16</t>
        </is>
      </c>
      <c r="E28" s="4" t="inlineStr">
        <is>
          <t>₹</t>
        </is>
      </c>
      <c r="F28" s="29" t="inlineStr">
        <is>
          <t>Lower is better</t>
        </is>
      </c>
      <c r="G28" s="20" t="n">
        <v>350000</v>
      </c>
      <c r="H28" s="20" t="n">
        <v>450000</v>
      </c>
      <c r="I28" s="20" t="n">
        <v>335000</v>
      </c>
      <c r="J28" s="20" t="n">
        <v>335000</v>
      </c>
      <c r="K28" s="20" t="n">
        <v>335000</v>
      </c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23">
        <f>IF(COUNTA(I28:U28)=0,"",INDEX(I28:U28,1,COUNTA(I28:U28)))</f>
        <v/>
      </c>
      <c r="W28" s="33">
        <f>IF(COUNTA(I28:U28)&lt;2,"",INDEX(I28:U28,1,COUNTA(I28:U28)-1))</f>
        <v/>
      </c>
      <c r="X28" s="49">
        <f>IF(W28="","",IF(V28&gt;W28,"▲",IF(V28&lt;W28,"▼","►")))</f>
        <v/>
      </c>
      <c r="Y28" s="49">
        <f>IF(V28="","",IF(G28="","",IF(F28="Higher is better",IF(V28&gt;=G28,"Green",IF(H28="","Amber",IF(V28&lt;H28,"Red","Amber"))),IF(V28&lt;=G28,"Green",IF(H28="","Amber",IF(V28&gt;H28,"Red","Amber"))))))</f>
        <v/>
      </c>
      <c r="Z28" s="6" t="n"/>
    </row>
    <row r="29">
      <c r="A29" s="4" t="n">
        <v>20</v>
      </c>
      <c r="B29" s="6" t="inlineStr">
        <is>
          <t>Runway (months) — from Runway tab</t>
        </is>
      </c>
      <c r="C29" s="29" t="inlineStr">
        <is>
          <t>COO</t>
        </is>
      </c>
      <c r="D29" s="44" t="inlineStr">
        <is>
          <t>Runway &amp; 13-Week Cash · B17</t>
        </is>
      </c>
      <c r="E29" s="4" t="inlineStr">
        <is>
          <t>months</t>
        </is>
      </c>
      <c r="F29" s="29" t="inlineStr">
        <is>
          <t>Higher is better</t>
        </is>
      </c>
      <c r="G29" s="53" t="n">
        <v>9</v>
      </c>
      <c r="H29" s="53" t="n">
        <v>6</v>
      </c>
      <c r="I29" s="53" t="n">
        <v>9</v>
      </c>
      <c r="J29" s="53" t="n">
        <v>8.9</v>
      </c>
      <c r="K29" s="53" t="n">
        <v>8.699999999999999</v>
      </c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25">
        <f>IF(COUNTA(I29:U29)=0,"",INDEX(I29:U29,1,COUNTA(I29:U29)))</f>
        <v/>
      </c>
      <c r="W29" s="55">
        <f>IF(COUNTA(I29:U29)&lt;2,"",INDEX(I29:U29,1,COUNTA(I29:U29)-1))</f>
        <v/>
      </c>
      <c r="X29" s="49">
        <f>IF(W29="","",IF(V29&gt;W29,"▲",IF(V29&lt;W29,"▼","►")))</f>
        <v/>
      </c>
      <c r="Y29" s="49">
        <f>IF(V29="","",IF(G29="","",IF(F29="Higher is better",IF(V29&gt;=G29,"Green",IF(H29="","Amber",IF(V29&lt;H29,"Red","Amber"))),IF(V29&lt;=G29,"Green",IF(H29="","Amber",IF(V29&gt;H29,"Red","Amber"))))))</f>
        <v/>
      </c>
      <c r="Z29" s="6" t="n"/>
    </row>
    <row r="30">
      <c r="A30" s="4" t="n">
        <v>21</v>
      </c>
      <c r="B30" s="6" t="inlineStr">
        <is>
          <t>Cost-to-serve per active tenant / month (₹)</t>
        </is>
      </c>
      <c r="C30" s="29" t="inlineStr">
        <is>
          <t>COO</t>
        </is>
      </c>
      <c r="D30" s="44" t="inlineStr">
        <is>
          <t>app-store-economics cost-model worksheet</t>
        </is>
      </c>
      <c r="E30" s="4" t="inlineStr">
        <is>
          <t>₹</t>
        </is>
      </c>
      <c r="F30" s="29" t="inlineStr">
        <is>
          <t>Lower is better</t>
        </is>
      </c>
      <c r="G30" s="20" t="n">
        <v>1500</v>
      </c>
      <c r="H30" s="20" t="n">
        <v>2500</v>
      </c>
      <c r="I30" s="20" t="n">
        <v>2000</v>
      </c>
      <c r="J30" s="20" t="n">
        <v>1800</v>
      </c>
      <c r="K30" s="20" t="n">
        <v>1700</v>
      </c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23">
        <f>IF(COUNTA(I30:U30)=0,"",INDEX(I30:U30,1,COUNTA(I30:U30)))</f>
        <v/>
      </c>
      <c r="W30" s="33">
        <f>IF(COUNTA(I30:U30)&lt;2,"",INDEX(I30:U30,1,COUNTA(I30:U30)-1))</f>
        <v/>
      </c>
      <c r="X30" s="49">
        <f>IF(W30="","",IF(V30&gt;W30,"▲",IF(V30&lt;W30,"▼","►")))</f>
        <v/>
      </c>
      <c r="Y30" s="49">
        <f>IF(V30="","",IF(G30="","",IF(F30="Higher is better",IF(V30&gt;=G30,"Green",IF(H30="","Amber",IF(V30&lt;H30,"Red","Amber"))),IF(V30&lt;=G30,"Green",IF(H30="","Amber",IF(V30&gt;H30,"Red","Amber"))))))</f>
        <v/>
      </c>
      <c r="Z30" s="6" t="n"/>
    </row>
    <row r="31">
      <c r="A31" s="4" t="n">
        <v>22</v>
      </c>
      <c r="B31" s="6" t="inlineStr">
        <is>
          <t>Headcount (employees + contractors)</t>
        </is>
      </c>
      <c r="C31" s="29" t="inlineStr">
        <is>
          <t>COO</t>
        </is>
      </c>
      <c r="D31" s="44" t="inlineStr">
        <is>
          <t>Headcount Plan</t>
        </is>
      </c>
      <c r="E31" s="4" t="inlineStr">
        <is>
          <t>count</t>
        </is>
      </c>
      <c r="F31" s="29" t="inlineStr">
        <is>
          <t>Higher is better</t>
        </is>
      </c>
      <c r="G31" s="45" t="n">
        <v>5</v>
      </c>
      <c r="H31" s="45" t="n">
        <v>3</v>
      </c>
      <c r="I31" s="45" t="n">
        <v>4</v>
      </c>
      <c r="J31" s="45" t="n">
        <v>4</v>
      </c>
      <c r="K31" s="45" t="n">
        <v>4</v>
      </c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7">
        <f>IF(COUNTA(I31:U31)=0,"",INDEX(I31:U31,1,COUNTA(I31:U31)))</f>
        <v/>
      </c>
      <c r="W31" s="48">
        <f>IF(COUNTA(I31:U31)&lt;2,"",INDEX(I31:U31,1,COUNTA(I31:U31)-1))</f>
        <v/>
      </c>
      <c r="X31" s="49">
        <f>IF(W31="","",IF(V31&gt;W31,"▲",IF(V31&lt;W31,"▼","►")))</f>
        <v/>
      </c>
      <c r="Y31" s="49">
        <f>IF(V31="","",IF(G31="","",IF(F31="Higher is better",IF(V31&gt;=G31,"Green",IF(H31="","Amber",IF(V31&lt;H31,"Red","Amber"))),IF(V31&lt;=G31,"Green",IF(H31="","Amber",IF(V31&gt;H31,"Red","Amber"))))))</f>
        <v/>
      </c>
      <c r="Z31" s="6" t="n"/>
    </row>
    <row r="32">
      <c r="A32" s="4" t="n">
        <v>23</v>
      </c>
      <c r="B32" s="6" t="inlineStr">
        <is>
          <t>Open roles</t>
        </is>
      </c>
      <c r="C32" s="29" t="inlineStr">
        <is>
          <t>COO</t>
        </is>
      </c>
      <c r="D32" s="44" t="inlineStr">
        <is>
          <t>Hiring Pipeline</t>
        </is>
      </c>
      <c r="E32" s="4" t="inlineStr">
        <is>
          <t>count</t>
        </is>
      </c>
      <c r="F32" s="29" t="inlineStr">
        <is>
          <t>Lower is better</t>
        </is>
      </c>
      <c r="G32" s="45" t="n">
        <v>1</v>
      </c>
      <c r="H32" s="45" t="n">
        <v>3</v>
      </c>
      <c r="I32" s="45" t="n">
        <v>1</v>
      </c>
      <c r="J32" s="45" t="n">
        <v>1</v>
      </c>
      <c r="K32" s="45" t="n">
        <v>1</v>
      </c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7">
        <f>IF(COUNTA(I32:U32)=0,"",INDEX(I32:U32,1,COUNTA(I32:U32)))</f>
        <v/>
      </c>
      <c r="W32" s="48">
        <f>IF(COUNTA(I32:U32)&lt;2,"",INDEX(I32:U32,1,COUNTA(I32:U32)-1))</f>
        <v/>
      </c>
      <c r="X32" s="49">
        <f>IF(W32="","",IF(V32&gt;W32,"▲",IF(V32&lt;W32,"▼","►")))</f>
        <v/>
      </c>
      <c r="Y32" s="49">
        <f>IF(V32="","",IF(G32="","",IF(F32="Higher is better",IF(V32&gt;=G32,"Green",IF(H32="","Amber",IF(V32&lt;H32,"Red","Amber"))),IF(V32&lt;=G32,"Green",IF(H32="","Amber",IF(V32&gt;H32,"Red","Amber"))))))</f>
        <v/>
      </c>
      <c r="Z32" s="6" t="n"/>
    </row>
  </sheetData>
  <mergeCells count="2">
    <mergeCell ref="A2:K2"/>
    <mergeCell ref="A1:K1"/>
  </mergeCells>
  <conditionalFormatting sqref="I5:V32">
    <cfRule type="expression" priority="1" dxfId="0">
      <formula>IF(I5="",FALSE,IF($G5="",FALSE,IF($F5="Higher is better",I5&lt;$G5,I5&gt;$G5)))</formula>
    </cfRule>
    <cfRule type="expression" priority="2" dxfId="1">
      <formula>IF(I5="",FALSE,IF($G5="",FALSE,IF($F5="Higher is better",I5&gt;=$G5,I5&lt;=$G5)))</formula>
    </cfRule>
  </conditionalFormatting>
  <conditionalFormatting sqref="Y5:Y32">
    <cfRule type="cellIs" priority="3" operator="equal" dxfId="1">
      <formula>"Green"</formula>
    </cfRule>
    <cfRule type="cellIs" priority="4" operator="equal" dxfId="2">
      <formula>"Amber"</formula>
    </cfRule>
    <cfRule type="cellIs" priority="5" operator="equal" dxfId="0">
      <formula>"Red"</formula>
    </cfRule>
  </conditionalFormatting>
  <conditionalFormatting sqref="X5:X32">
    <cfRule type="expression" priority="6" dxfId="1">
      <formula>IF(X5="",FALSE,IF($F5="Higher is better",X5="▲",X5="▼"))</formula>
    </cfRule>
    <cfRule type="expression" priority="7" dxfId="0">
      <formula>IF(X5="",FALSE,IF($F5="Higher is better",X5="▼",X5="▲"))</formula>
    </cfRule>
  </conditionalFormatting>
  <dataValidations count="3">
    <dataValidation sqref="F5:F62" showDropDown="0" showInputMessage="0" showErrorMessage="1" allowBlank="1" errorTitle="Pick from list" error="Please pick a value from the dropdown." type="list">
      <formula1>"Higher is better,Lower is better"</formula1>
    </dataValidation>
    <dataValidation sqref="C5:C62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E5:E62" showDropDown="0" showInputMessage="0" showErrorMessage="1" allowBlank="1" errorTitle="Pick from list" error="Please pick a value from the dropdown." type="list">
      <formula1>"count,%,₹,days,hours,months"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K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16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3" customWidth="1" min="10" max="10"/>
    <col width="36" customWidth="1" min="11" max="11"/>
  </cols>
  <sheetData>
    <row r="1" ht="23" customHeight="1">
      <c r="A1" s="1" t="inlineStr">
        <is>
          <t>OKR Tracker — 2–3 objectives per quarter, 2–4 measurable key results each; progress % computes from baseline → target.</t>
        </is>
      </c>
    </row>
    <row r="2" ht="30" customHeight="1">
      <c r="A2" s="2" t="inlineStr">
        <is>
          <t>Example rows (grey italic) are illustrative — replace with real data. Yellow = input, blue = formula (do not overwrite). Score 0.0–1.0 = progress %; 0.7 is a good quarter. Lower-is-better KRs work the same way (baseline 6 h → target 2 h).</t>
        </is>
      </c>
    </row>
    <row r="4" ht="32" customHeight="1">
      <c r="A4" s="3" t="inlineStr">
        <is>
          <t>Quarter</t>
        </is>
      </c>
      <c r="B4" s="3" t="inlineStr">
        <is>
          <t>Objective</t>
        </is>
      </c>
      <c r="C4" s="3" t="inlineStr">
        <is>
          <t>Key result</t>
        </is>
      </c>
      <c r="D4" s="3" t="inlineStr">
        <is>
          <t>Owner</t>
        </is>
      </c>
      <c r="E4" s="3" t="inlineStr">
        <is>
          <t>Baseline</t>
        </is>
      </c>
      <c r="F4" s="3" t="inlineStr">
        <is>
          <t>Target</t>
        </is>
      </c>
      <c r="G4" s="3" t="inlineStr">
        <is>
          <t>Current</t>
        </is>
      </c>
      <c r="H4" s="3" t="inlineStr">
        <is>
          <t>Progress % (0–100 %)</t>
        </is>
      </c>
      <c r="I4" s="3" t="inlineStr">
        <is>
          <t>Confidence</t>
        </is>
      </c>
      <c r="J4" s="3" t="inlineStr">
        <is>
          <t>Status</t>
        </is>
      </c>
      <c r="K4" s="3" t="inlineStr">
        <is>
          <t>Notes / next action</t>
        </is>
      </c>
    </row>
    <row r="5">
      <c r="A5" s="14" t="inlineStr">
        <is>
          <t>Q3 FY27 (Oct–Dec 2026)</t>
        </is>
      </c>
      <c r="B5" s="56" t="inlineStr">
        <is>
          <t>O1 — Prove that dealers will pay for DZZLO</t>
        </is>
      </c>
      <c r="C5" s="56" t="inlineStr">
        <is>
          <t>KR1 — 5 paying dealer tenants (from 0)</t>
        </is>
      </c>
      <c r="D5" s="14" t="inlineStr">
        <is>
          <t>COO</t>
        </is>
      </c>
      <c r="E5" s="45" t="n">
        <v>0</v>
      </c>
      <c r="F5" s="45" t="n">
        <v>5</v>
      </c>
      <c r="G5" s="45" t="n">
        <v>2</v>
      </c>
      <c r="H5" s="57">
        <f>IF(G5="","",IF(F5=E5,"",MAX(0,MIN(1,(G5-E5)/(F5-E5)))))</f>
        <v/>
      </c>
      <c r="I5" s="14" t="inlineStr">
        <is>
          <t>High</t>
        </is>
      </c>
      <c r="J5" s="14" t="inlineStr">
        <is>
          <t>On track</t>
        </is>
      </c>
      <c r="K5" s="56" t="inlineStr">
        <is>
          <t>2 pilots converting; 3 in pilot</t>
        </is>
      </c>
    </row>
    <row r="6">
      <c r="A6" s="14" t="inlineStr">
        <is>
          <t>Q3 FY27 (Oct–Dec 2026)</t>
        </is>
      </c>
      <c r="B6" s="56" t="inlineStr">
        <is>
          <t>O1 — Prove that dealers will pay for DZZLO</t>
        </is>
      </c>
      <c r="C6" s="56" t="inlineStr">
        <is>
          <t>KR2 — Activation rate 60 % for new tenants (from 40 %)</t>
        </is>
      </c>
      <c r="D6" s="14" t="inlineStr">
        <is>
          <t>Support/Ops</t>
        </is>
      </c>
      <c r="E6" s="58" t="n">
        <v>0.4</v>
      </c>
      <c r="F6" s="58" t="n">
        <v>0.6</v>
      </c>
      <c r="G6" s="58" t="n">
        <v>0.5</v>
      </c>
      <c r="H6" s="57">
        <f>IF(G6="","",IF(F6=E6,"",MAX(0,MIN(1,(G6-E6)/(F6-E6)))))</f>
        <v/>
      </c>
      <c r="I6" s="14" t="inlineStr">
        <is>
          <t>Medium</t>
        </is>
      </c>
      <c r="J6" s="14" t="inlineStr">
        <is>
          <t>At risk</t>
        </is>
      </c>
      <c r="K6" s="56" t="inlineStr">
        <is>
          <t>Onboarding SOP live; WhatsApp-first customer invite in test</t>
        </is>
      </c>
    </row>
    <row r="7">
      <c r="A7" s="14" t="inlineStr">
        <is>
          <t>Q3 FY27 (Oct–Dec 2026)</t>
        </is>
      </c>
      <c r="B7" s="56" t="inlineStr">
        <is>
          <t>O1 — Prove that dealers will pay for DZZLO</t>
        </is>
      </c>
      <c r="C7" s="56" t="inlineStr">
        <is>
          <t>KR3 — 10 pilots started via IOCL/association channel (from 0)</t>
        </is>
      </c>
      <c r="D7" s="14" t="inlineStr">
        <is>
          <t>Domain director</t>
        </is>
      </c>
      <c r="E7" s="45" t="n">
        <v>0</v>
      </c>
      <c r="F7" s="45" t="n">
        <v>10</v>
      </c>
      <c r="G7" s="45" t="n">
        <v>4</v>
      </c>
      <c r="H7" s="57">
        <f>IF(G7="","",IF(F7=E7,"",MAX(0,MIN(1,(G7-E7)/(F7-E7)))))</f>
        <v/>
      </c>
      <c r="I7" s="14" t="inlineStr">
        <is>
          <t>Medium</t>
        </is>
      </c>
      <c r="J7" s="14" t="inlineStr">
        <is>
          <t>On track</t>
        </is>
      </c>
      <c r="K7" s="56" t="inlineStr">
        <is>
          <t>IOCL contacts in discussion; district association meet booked</t>
        </is>
      </c>
    </row>
    <row r="8">
      <c r="A8" s="14" t="inlineStr">
        <is>
          <t>Q3 FY27 (Oct–Dec 2026)</t>
        </is>
      </c>
      <c r="B8" s="56" t="inlineStr">
        <is>
          <t>O2 — Run the company on a weekly cadence</t>
        </is>
      </c>
      <c r="C8" s="56" t="inlineStr">
        <is>
          <t>KR1 — 13 of 13 weekly ops meetings held with an updated scorecard</t>
        </is>
      </c>
      <c r="D8" s="14" t="inlineStr">
        <is>
          <t>COO</t>
        </is>
      </c>
      <c r="E8" s="45" t="n">
        <v>0</v>
      </c>
      <c r="F8" s="45" t="n">
        <v>13</v>
      </c>
      <c r="G8" s="45" t="n">
        <v>5</v>
      </c>
      <c r="H8" s="57">
        <f>IF(G8="","",IF(F8=E8,"",MAX(0,MIN(1,(G8-E8)/(F8-E8)))))</f>
        <v/>
      </c>
      <c r="I8" s="14" t="inlineStr">
        <is>
          <t>High</t>
        </is>
      </c>
      <c r="J8" s="14" t="inlineStr">
        <is>
          <t>On track</t>
        </is>
      </c>
      <c r="K8" s="56" t="inlineStr">
        <is>
          <t>Monday 10:00; T03 agenda</t>
        </is>
      </c>
    </row>
    <row r="9">
      <c r="A9" s="14" t="inlineStr">
        <is>
          <t>Q3 FY27 (Oct–Dec 2026)</t>
        </is>
      </c>
      <c r="B9" s="56" t="inlineStr">
        <is>
          <t>O2 — Run the company on a weekly cadence</t>
        </is>
      </c>
      <c r="C9" s="56" t="inlineStr">
        <is>
          <t>KR2 — 10 SOPs live in the vault (from 0)</t>
        </is>
      </c>
      <c r="D9" s="14" t="inlineStr">
        <is>
          <t>COO</t>
        </is>
      </c>
      <c r="E9" s="45" t="n">
        <v>0</v>
      </c>
      <c r="F9" s="45" t="n">
        <v>10</v>
      </c>
      <c r="G9" s="45" t="n">
        <v>3</v>
      </c>
      <c r="H9" s="57">
        <f>IF(G9="","",IF(F9=E9,"",MAX(0,MIN(1,(G9-E9)/(F9-E9)))))</f>
        <v/>
      </c>
      <c r="I9" s="14" t="inlineStr">
        <is>
          <t>Medium</t>
        </is>
      </c>
      <c r="J9" s="14" t="inlineStr">
        <is>
          <t>At risk</t>
        </is>
      </c>
      <c r="K9" s="56" t="inlineStr">
        <is>
          <t>Support SOP, release checklist, scorecard update live</t>
        </is>
      </c>
    </row>
    <row r="10">
      <c r="A10" s="14" t="inlineStr">
        <is>
          <t>Q3 FY27 (Oct–Dec 2026)</t>
        </is>
      </c>
      <c r="B10" s="56" t="inlineStr">
        <is>
          <t>O2 — Run the company on a weekly cadence</t>
        </is>
      </c>
      <c r="C10" s="56" t="inlineStr">
        <is>
          <t>KR3 — Support first-response time under 2 h median (from 6 h)</t>
        </is>
      </c>
      <c r="D10" s="14" t="inlineStr">
        <is>
          <t>Support/Ops</t>
        </is>
      </c>
      <c r="E10" s="45" t="n">
        <v>6</v>
      </c>
      <c r="F10" s="45" t="n">
        <v>2</v>
      </c>
      <c r="G10" s="45" t="n">
        <v>4</v>
      </c>
      <c r="H10" s="57">
        <f>IF(G10="","",IF(F10=E10,"",MAX(0,MIN(1,(G10-E10)/(F10-E10)))))</f>
        <v/>
      </c>
      <c r="I10" s="14" t="inlineStr">
        <is>
          <t>Medium</t>
        </is>
      </c>
      <c r="J10" s="14" t="inlineStr">
        <is>
          <t>On track</t>
        </is>
      </c>
      <c r="K10" s="56" t="inlineStr">
        <is>
          <t>Helpdesk trial; WhatsApp business hours published</t>
        </is>
      </c>
    </row>
    <row r="11">
      <c r="A11" s="19" t="n"/>
      <c r="B11" s="6" t="n"/>
      <c r="C11" s="6" t="n"/>
      <c r="D11" s="19" t="n"/>
      <c r="E11" s="59" t="n"/>
      <c r="F11" s="59" t="n"/>
      <c r="G11" s="59" t="n"/>
      <c r="H11" s="60">
        <f>IF(G11="","",IF(F11=E11,"",MAX(0,MIN(1,(G11-E11)/(F11-E11)))))</f>
        <v/>
      </c>
      <c r="I11" s="19" t="n"/>
      <c r="J11" s="19" t="n"/>
      <c r="K11" s="6" t="n"/>
    </row>
    <row r="12">
      <c r="A12" s="19" t="n"/>
      <c r="B12" s="6" t="n"/>
      <c r="C12" s="6" t="n"/>
      <c r="D12" s="19" t="n"/>
      <c r="E12" s="59" t="n"/>
      <c r="F12" s="59" t="n"/>
      <c r="G12" s="59" t="n"/>
      <c r="H12" s="60">
        <f>IF(G12="","",IF(F12=E12,"",MAX(0,MIN(1,(G12-E12)/(F12-E12)))))</f>
        <v/>
      </c>
      <c r="I12" s="19" t="n"/>
      <c r="J12" s="19" t="n"/>
      <c r="K12" s="6" t="n"/>
    </row>
    <row r="13">
      <c r="A13" s="19" t="n"/>
      <c r="B13" s="6" t="n"/>
      <c r="C13" s="6" t="n"/>
      <c r="D13" s="19" t="n"/>
      <c r="E13" s="59" t="n"/>
      <c r="F13" s="59" t="n"/>
      <c r="G13" s="59" t="n"/>
      <c r="H13" s="60">
        <f>IF(G13="","",IF(F13=E13,"",MAX(0,MIN(1,(G13-E13)/(F13-E13)))))</f>
        <v/>
      </c>
      <c r="I13" s="19" t="n"/>
      <c r="J13" s="19" t="n"/>
      <c r="K13" s="6" t="n"/>
    </row>
    <row r="14">
      <c r="A14" s="19" t="n"/>
      <c r="B14" s="6" t="n"/>
      <c r="C14" s="6" t="n"/>
      <c r="D14" s="19" t="n"/>
      <c r="E14" s="59" t="n"/>
      <c r="F14" s="59" t="n"/>
      <c r="G14" s="59" t="n"/>
      <c r="H14" s="60">
        <f>IF(G14="","",IF(F14=E14,"",MAX(0,MIN(1,(G14-E14)/(F14-E14)))))</f>
        <v/>
      </c>
      <c r="I14" s="19" t="n"/>
      <c r="J14" s="19" t="n"/>
      <c r="K14" s="6" t="n"/>
    </row>
    <row r="15">
      <c r="A15" s="19" t="n"/>
      <c r="B15" s="6" t="n"/>
      <c r="C15" s="6" t="n"/>
      <c r="D15" s="19" t="n"/>
      <c r="E15" s="59" t="n"/>
      <c r="F15" s="59" t="n"/>
      <c r="G15" s="59" t="n"/>
      <c r="H15" s="60">
        <f>IF(G15="","",IF(F15=E15,"",MAX(0,MIN(1,(G15-E15)/(F15-E15)))))</f>
        <v/>
      </c>
      <c r="I15" s="19" t="n"/>
      <c r="J15" s="19" t="n"/>
      <c r="K15" s="6" t="n"/>
    </row>
    <row r="16">
      <c r="A16" s="19" t="n"/>
      <c r="B16" s="6" t="n"/>
      <c r="C16" s="6" t="n"/>
      <c r="D16" s="19" t="n"/>
      <c r="E16" s="59" t="n"/>
      <c r="F16" s="59" t="n"/>
      <c r="G16" s="59" t="n"/>
      <c r="H16" s="60">
        <f>IF(G16="","",IF(F16=E16,"",MAX(0,MIN(1,(G16-E16)/(F16-E16)))))</f>
        <v/>
      </c>
      <c r="I16" s="19" t="n"/>
      <c r="J16" s="19" t="n"/>
      <c r="K16" s="6" t="n"/>
    </row>
    <row r="17">
      <c r="A17" s="19" t="n"/>
      <c r="B17" s="6" t="n"/>
      <c r="C17" s="6" t="n"/>
      <c r="D17" s="19" t="n"/>
      <c r="E17" s="59" t="n"/>
      <c r="F17" s="59" t="n"/>
      <c r="G17" s="59" t="n"/>
      <c r="H17" s="60">
        <f>IF(G17="","",IF(F17=E17,"",MAX(0,MIN(1,(G17-E17)/(F17-E17)))))</f>
        <v/>
      </c>
      <c r="I17" s="19" t="n"/>
      <c r="J17" s="19" t="n"/>
      <c r="K17" s="6" t="n"/>
    </row>
    <row r="18">
      <c r="A18" s="19" t="n"/>
      <c r="B18" s="6" t="n"/>
      <c r="C18" s="6" t="n"/>
      <c r="D18" s="19" t="n"/>
      <c r="E18" s="59" t="n"/>
      <c r="F18" s="59" t="n"/>
      <c r="G18" s="59" t="n"/>
      <c r="H18" s="60">
        <f>IF(G18="","",IF(F18=E18,"",MAX(0,MIN(1,(G18-E18)/(F18-E18)))))</f>
        <v/>
      </c>
      <c r="I18" s="19" t="n"/>
      <c r="J18" s="19" t="n"/>
      <c r="K18" s="6" t="n"/>
    </row>
    <row r="19">
      <c r="A19" s="19" t="n"/>
      <c r="B19" s="6" t="n"/>
      <c r="C19" s="6" t="n"/>
      <c r="D19" s="19" t="n"/>
      <c r="E19" s="59" t="n"/>
      <c r="F19" s="59" t="n"/>
      <c r="G19" s="59" t="n"/>
      <c r="H19" s="60">
        <f>IF(G19="","",IF(F19=E19,"",MAX(0,MIN(1,(G19-E19)/(F19-E19)))))</f>
        <v/>
      </c>
      <c r="I19" s="19" t="n"/>
      <c r="J19" s="19" t="n"/>
      <c r="K19" s="6" t="n"/>
    </row>
    <row r="20">
      <c r="A20" s="19" t="n"/>
      <c r="B20" s="6" t="n"/>
      <c r="C20" s="6" t="n"/>
      <c r="D20" s="19" t="n"/>
      <c r="E20" s="59" t="n"/>
      <c r="F20" s="59" t="n"/>
      <c r="G20" s="59" t="n"/>
      <c r="H20" s="60">
        <f>IF(G20="","",IF(F20=E20,"",MAX(0,MIN(1,(G20-E20)/(F20-E20)))))</f>
        <v/>
      </c>
      <c r="I20" s="19" t="n"/>
      <c r="J20" s="19" t="n"/>
      <c r="K20" s="6" t="n"/>
    </row>
    <row r="21">
      <c r="A21" s="19" t="n"/>
      <c r="B21" s="6" t="n"/>
      <c r="C21" s="6" t="n"/>
      <c r="D21" s="19" t="n"/>
      <c r="E21" s="59" t="n"/>
      <c r="F21" s="59" t="n"/>
      <c r="G21" s="59" t="n"/>
      <c r="H21" s="60">
        <f>IF(G21="","",IF(F21=E21,"",MAX(0,MIN(1,(G21-E21)/(F21-E21)))))</f>
        <v/>
      </c>
      <c r="I21" s="19" t="n"/>
      <c r="J21" s="19" t="n"/>
      <c r="K21" s="6" t="n"/>
    </row>
    <row r="22">
      <c r="A22" s="19" t="n"/>
      <c r="B22" s="6" t="n"/>
      <c r="C22" s="6" t="n"/>
      <c r="D22" s="19" t="n"/>
      <c r="E22" s="59" t="n"/>
      <c r="F22" s="59" t="n"/>
      <c r="G22" s="59" t="n"/>
      <c r="H22" s="60">
        <f>IF(G22="","",IF(F22=E22,"",MAX(0,MIN(1,(G22-E22)/(F22-E22)))))</f>
        <v/>
      </c>
      <c r="I22" s="19" t="n"/>
      <c r="J22" s="19" t="n"/>
      <c r="K22" s="6" t="n"/>
    </row>
  </sheetData>
  <mergeCells count="2">
    <mergeCell ref="A2:H2"/>
    <mergeCell ref="A1:H1"/>
  </mergeCells>
  <conditionalFormatting sqref="H5:H22">
    <cfRule type="expression" priority="1" dxfId="1">
      <formula>IF(H5="",FALSE,H5&gt;=0.7)</formula>
    </cfRule>
    <cfRule type="expression" priority="2" dxfId="2">
      <formula>IF(H5="",FALSE,IF(H5&lt;0.3,FALSE,H5&lt;0.7))</formula>
    </cfRule>
    <cfRule type="expression" priority="3" dxfId="0">
      <formula>IF(H5="",FALSE,H5&lt;0.3)</formula>
    </cfRule>
  </conditionalFormatting>
  <conditionalFormatting sqref="J5:J22">
    <cfRule type="cellIs" priority="4" operator="equal" dxfId="1">
      <formula>"On track"</formula>
    </cfRule>
    <cfRule type="cellIs" priority="5" operator="equal" dxfId="1">
      <formula>"Done"</formula>
    </cfRule>
    <cfRule type="cellIs" priority="6" operator="equal" dxfId="2">
      <formula>"At risk"</formula>
    </cfRule>
    <cfRule type="cellIs" priority="7" operator="equal" dxfId="0">
      <formula>"Off track"</formula>
    </cfRule>
  </conditionalFormatting>
  <dataValidations count="3">
    <dataValidation sqref="D5:D42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I5:I42" showDropDown="0" showInputMessage="0" showErrorMessage="1" allowBlank="1" errorTitle="Pick from list" error="Please pick a value from the dropdown." type="list">
      <formula1>"High,Medium,Low"</formula1>
    </dataValidation>
    <dataValidation sqref="J5:J42" showDropDown="0" showInputMessage="0" showErrorMessage="1" allowBlank="1" errorTitle="Pick from list" error="Please pick a value from the dropdown." type="list">
      <formula1>"Not started,On track,At risk,Off track,Done,Dropped"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J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8" customWidth="1" min="2" max="2"/>
    <col width="20" customWidth="1" min="3" max="3"/>
    <col width="12" customWidth="1" min="4" max="4"/>
    <col width="13" customWidth="1" min="5" max="5"/>
    <col width="17" customWidth="1" min="6" max="6"/>
    <col width="16" customWidth="1" min="7" max="7"/>
    <col width="12" customWidth="1" min="8" max="8"/>
    <col width="10" customWidth="1" min="9" max="9"/>
    <col width="70" customWidth="1" min="10" max="10"/>
  </cols>
  <sheetData>
    <row r="1" ht="40" customHeight="1">
      <c r="A1" s="1" t="inlineStr">
        <is>
          <t>Compliance Calendar — every recurring statutory obligation of an Indian Pvt Ltd with its typical due date, owner, status and days-to-due; run it monthly with the CA/CS.</t>
        </is>
      </c>
    </row>
    <row r="2" ht="18" customHeight="1">
      <c r="A2" s="2" t="inlineStr">
        <is>
          <t>All dates are TYPICAL due dates for FY 2026-27 — VERIFY LIVE with your CA/CS each April and after each filing; then roll the date forward. Days-to-due goes blank once status = Filed/Done or N/A.</t>
        </is>
      </c>
    </row>
    <row r="4" ht="32" customHeight="1">
      <c r="A4" s="3" t="inlineStr">
        <is>
          <t>Item</t>
        </is>
      </c>
      <c r="B4" s="3" t="inlineStr">
        <is>
          <t>Category</t>
        </is>
      </c>
      <c r="C4" s="3" t="inlineStr">
        <is>
          <t>Form</t>
        </is>
      </c>
      <c r="D4" s="3" t="inlineStr">
        <is>
          <t>Frequency</t>
        </is>
      </c>
      <c r="E4" s="3" t="inlineStr">
        <is>
          <t>Typical due date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Done date</t>
        </is>
      </c>
      <c r="I4" s="3" t="inlineStr">
        <is>
          <t>Days to due</t>
        </is>
      </c>
      <c r="J4" s="3" t="inlineStr">
        <is>
          <t>VERIFY note / how to confirm</t>
        </is>
      </c>
    </row>
    <row r="5">
      <c r="A5" s="6" t="inlineStr">
        <is>
          <t>GSTR-1 — outward supplies (Aug 2026 period)</t>
        </is>
      </c>
      <c r="B5" s="29" t="inlineStr">
        <is>
          <t>GST</t>
        </is>
      </c>
      <c r="C5" s="6" t="inlineStr">
        <is>
          <t>GSTR-1 / IFF</t>
        </is>
      </c>
      <c r="D5" s="29" t="inlineStr">
        <is>
          <t>Monthly</t>
        </is>
      </c>
      <c r="E5" s="61" t="n">
        <v>46276</v>
      </c>
      <c r="F5" s="29" t="inlineStr">
        <is>
          <t>CA/CS (external)</t>
        </is>
      </c>
      <c r="G5" s="29" t="inlineStr">
        <is>
          <t>Not started</t>
        </is>
      </c>
      <c r="H5" s="61" t="n"/>
      <c r="I5" s="62">
        <f>IF(G5="Filed/Done","",IF(G5="N/A","",IF(E5="","",E5-TODAY())))</f>
        <v/>
      </c>
      <c r="J5" s="44" t="inlineStr">
        <is>
          <t>VERIFY LIVE with CA/CS. Typically 11th of next month; under QRMP (small taxpayers) it is quarterly by the 13th with optional IFF.</t>
        </is>
      </c>
    </row>
    <row r="6">
      <c r="A6" s="6" t="inlineStr">
        <is>
          <t>GSTR-3B — summary return &amp; tax payment (Aug 2026 period)</t>
        </is>
      </c>
      <c r="B6" s="29" t="inlineStr">
        <is>
          <t>GST</t>
        </is>
      </c>
      <c r="C6" s="6" t="inlineStr">
        <is>
          <t>GSTR-3B</t>
        </is>
      </c>
      <c r="D6" s="29" t="inlineStr">
        <is>
          <t>Monthly</t>
        </is>
      </c>
      <c r="E6" s="61" t="n">
        <v>46285</v>
      </c>
      <c r="F6" s="29" t="inlineStr">
        <is>
          <t>CA/CS (external)</t>
        </is>
      </c>
      <c r="G6" s="29" t="inlineStr">
        <is>
          <t>Not started</t>
        </is>
      </c>
      <c r="H6" s="61" t="n"/>
      <c r="I6" s="62">
        <f>IF(G6="Filed/Done","",IF(G6="N/A","",IF(E6="","",E6-TODAY())))</f>
        <v/>
      </c>
      <c r="J6" s="44" t="inlineStr">
        <is>
          <t>VERIFY LIVE with CA/CS. Typically 20th of next month (QRMP: 22nd/24th quarterly + PMT-06 monthly).</t>
        </is>
      </c>
    </row>
    <row r="7">
      <c r="A7" s="6" t="inlineStr">
        <is>
          <t>GSTR-9 — annual return FY 2025-26</t>
        </is>
      </c>
      <c r="B7" s="29" t="inlineStr">
        <is>
          <t>GST</t>
        </is>
      </c>
      <c r="C7" s="6" t="inlineStr">
        <is>
          <t>GSTR-9</t>
        </is>
      </c>
      <c r="D7" s="29" t="inlineStr">
        <is>
          <t>Annual</t>
        </is>
      </c>
      <c r="E7" s="61" t="n">
        <v>46387</v>
      </c>
      <c r="F7" s="29" t="inlineStr">
        <is>
          <t>CA/CS (external)</t>
        </is>
      </c>
      <c r="G7" s="29" t="inlineStr">
        <is>
          <t>Not started</t>
        </is>
      </c>
      <c r="H7" s="61" t="n"/>
      <c r="I7" s="62">
        <f>IF(G7="Filed/Done","",IF(G7="N/A","",IF(E7="","",E7-TODAY())))</f>
        <v/>
      </c>
      <c r="J7" s="44" t="inlineStr">
        <is>
          <t>VERIFY LIVE with CA/CS. Typically 31 Dec; optional below the turnover threshold (₹2 Cr) — confirm applicability.</t>
        </is>
      </c>
    </row>
    <row r="8">
      <c r="A8" s="6" t="inlineStr">
        <is>
          <t>GST registration status / QRMP opt-in check</t>
        </is>
      </c>
      <c r="B8" s="29" t="inlineStr">
        <is>
          <t>GST</t>
        </is>
      </c>
      <c r="C8" s="6" t="inlineStr">
        <is>
          <t>—</t>
        </is>
      </c>
      <c r="D8" s="29" t="inlineStr">
        <is>
          <t>Quarterly</t>
        </is>
      </c>
      <c r="E8" s="61" t="n">
        <v>46326</v>
      </c>
      <c r="F8" s="29" t="inlineStr">
        <is>
          <t>COO</t>
        </is>
      </c>
      <c r="G8" s="29" t="inlineStr">
        <is>
          <t>Not started</t>
        </is>
      </c>
      <c r="H8" s="61" t="n"/>
      <c r="I8" s="62">
        <f>IF(G8="Filed/Done","",IF(G8="N/A","",IF(E8="","",E8-TODAY())))</f>
        <v/>
      </c>
      <c r="J8" s="44" t="inlineStr">
        <is>
          <t>VERIFY LIVE with CA/CS. Confirm registration state, QRMP choice and e-invoicing threshold each quarter (relevant once DZZLO invoices).</t>
        </is>
      </c>
    </row>
    <row r="9">
      <c r="A9" s="6" t="inlineStr">
        <is>
          <t>TDS payment for Aug 2026 deductions</t>
        </is>
      </c>
      <c r="B9" s="29" t="inlineStr">
        <is>
          <t>TDS</t>
        </is>
      </c>
      <c r="C9" s="6" t="inlineStr">
        <is>
          <t>Challan ITNS-281</t>
        </is>
      </c>
      <c r="D9" s="29" t="inlineStr">
        <is>
          <t>Monthly</t>
        </is>
      </c>
      <c r="E9" s="61" t="n">
        <v>46272</v>
      </c>
      <c r="F9" s="29" t="inlineStr">
        <is>
          <t>COO</t>
        </is>
      </c>
      <c r="G9" s="29" t="inlineStr">
        <is>
          <t>Not started</t>
        </is>
      </c>
      <c r="H9" s="61" t="n"/>
      <c r="I9" s="62">
        <f>IF(G9="Filed/Done","",IF(G9="N/A","",IF(E9="","",E9-TODAY())))</f>
        <v/>
      </c>
      <c r="J9" s="44" t="inlineStr">
        <is>
          <t>VERIFY LIVE with CA/CS. Typically 7th of next month (30 April for March). Contractors (194J/194C), rent, salaries.</t>
        </is>
      </c>
    </row>
    <row r="10">
      <c r="A10" s="6" t="inlineStr">
        <is>
          <t>TDS quarterly returns Q1 FY27 (Apr–Jun) — 24Q salary / 26Q non-salary</t>
        </is>
      </c>
      <c r="B10" s="29" t="inlineStr">
        <is>
          <t>TDS</t>
        </is>
      </c>
      <c r="C10" s="6" t="inlineStr">
        <is>
          <t>24Q / 26Q</t>
        </is>
      </c>
      <c r="D10" s="29" t="inlineStr">
        <is>
          <t>Quarterly</t>
        </is>
      </c>
      <c r="E10" s="61" t="n">
        <v>46234</v>
      </c>
      <c r="F10" s="29" t="inlineStr">
        <is>
          <t>CA/CS (external)</t>
        </is>
      </c>
      <c r="G10" s="29" t="inlineStr">
        <is>
          <t>Unknown – verify</t>
        </is>
      </c>
      <c r="H10" s="61" t="n"/>
      <c r="I10" s="62">
        <f>IF(G10="Filed/Done","",IF(G10="N/A","",IF(E10="","",E10-TODAY())))</f>
        <v/>
      </c>
      <c r="J10" s="44" t="inlineStr">
        <is>
          <t>VERIFY LIVE with CA/CS. Typically 31 Jul. Past date — confirm it was filed or that no TDS was deductible.</t>
        </is>
      </c>
    </row>
    <row r="11">
      <c r="A11" s="6" t="inlineStr">
        <is>
          <t>TDS quarterly returns Q2 FY27 (Jul–Sep)</t>
        </is>
      </c>
      <c r="B11" s="29" t="inlineStr">
        <is>
          <t>TDS</t>
        </is>
      </c>
      <c r="C11" s="6" t="inlineStr">
        <is>
          <t>24Q / 26Q</t>
        </is>
      </c>
      <c r="D11" s="29" t="inlineStr">
        <is>
          <t>Quarterly</t>
        </is>
      </c>
      <c r="E11" s="61" t="n">
        <v>46326</v>
      </c>
      <c r="F11" s="29" t="inlineStr">
        <is>
          <t>CA/CS (external)</t>
        </is>
      </c>
      <c r="G11" s="29" t="inlineStr">
        <is>
          <t>Not started</t>
        </is>
      </c>
      <c r="H11" s="61" t="n"/>
      <c r="I11" s="62">
        <f>IF(G11="Filed/Done","",IF(G11="N/A","",IF(E11="","",E11-TODAY())))</f>
        <v/>
      </c>
      <c r="J11" s="44" t="inlineStr">
        <is>
          <t>VERIFY LIVE with CA/CS. Typically 31 Oct.</t>
        </is>
      </c>
    </row>
    <row r="12">
      <c r="A12" s="6" t="inlineStr">
        <is>
          <t>TDS quarterly returns Q3 FY27 (Oct–Dec)</t>
        </is>
      </c>
      <c r="B12" s="29" t="inlineStr">
        <is>
          <t>TDS</t>
        </is>
      </c>
      <c r="C12" s="6" t="inlineStr">
        <is>
          <t>24Q / 26Q</t>
        </is>
      </c>
      <c r="D12" s="29" t="inlineStr">
        <is>
          <t>Quarterly</t>
        </is>
      </c>
      <c r="E12" s="61" t="n">
        <v>46418</v>
      </c>
      <c r="F12" s="29" t="inlineStr">
        <is>
          <t>CA/CS (external)</t>
        </is>
      </c>
      <c r="G12" s="29" t="inlineStr">
        <is>
          <t>Not started</t>
        </is>
      </c>
      <c r="H12" s="61" t="n"/>
      <c r="I12" s="62">
        <f>IF(G12="Filed/Done","",IF(G12="N/A","",IF(E12="","",E12-TODAY())))</f>
        <v/>
      </c>
      <c r="J12" s="44" t="inlineStr">
        <is>
          <t>VERIFY LIVE with CA/CS. Typically 31 Jan.</t>
        </is>
      </c>
    </row>
    <row r="13">
      <c r="A13" s="6" t="inlineStr">
        <is>
          <t>TDS quarterly returns Q4 FY27 (Jan–Mar)</t>
        </is>
      </c>
      <c r="B13" s="29" t="inlineStr">
        <is>
          <t>TDS</t>
        </is>
      </c>
      <c r="C13" s="6" t="inlineStr">
        <is>
          <t>24Q / 26Q</t>
        </is>
      </c>
      <c r="D13" s="29" t="inlineStr">
        <is>
          <t>Quarterly</t>
        </is>
      </c>
      <c r="E13" s="61" t="n">
        <v>46538</v>
      </c>
      <c r="F13" s="29" t="inlineStr">
        <is>
          <t>CA/CS (external)</t>
        </is>
      </c>
      <c r="G13" s="29" t="inlineStr">
        <is>
          <t>Not started</t>
        </is>
      </c>
      <c r="H13" s="61" t="n"/>
      <c r="I13" s="62">
        <f>IF(G13="Filed/Done","",IF(G13="N/A","",IF(E13="","",E13-TODAY())))</f>
        <v/>
      </c>
      <c r="J13" s="44" t="inlineStr">
        <is>
          <t>VERIFY LIVE with CA/CS. Typically 31 May.</t>
        </is>
      </c>
    </row>
    <row r="14">
      <c r="A14" s="6" t="inlineStr">
        <is>
          <t>Form 16 (employees) / 16A (vendors) issue</t>
        </is>
      </c>
      <c r="B14" s="29" t="inlineStr">
        <is>
          <t>TDS</t>
        </is>
      </c>
      <c r="C14" s="6" t="inlineStr">
        <is>
          <t>Form 16 / 16A</t>
        </is>
      </c>
      <c r="D14" s="29" t="inlineStr">
        <is>
          <t>Annual</t>
        </is>
      </c>
      <c r="E14" s="61" t="n">
        <v>46553</v>
      </c>
      <c r="F14" s="29" t="inlineStr">
        <is>
          <t>CA/CS (external)</t>
        </is>
      </c>
      <c r="G14" s="29" t="inlineStr">
        <is>
          <t>Not started</t>
        </is>
      </c>
      <c r="H14" s="61" t="n"/>
      <c r="I14" s="62">
        <f>IF(G14="Filed/Done","",IF(G14="N/A","",IF(E14="","",E14-TODAY())))</f>
        <v/>
      </c>
      <c r="J14" s="44" t="inlineStr">
        <is>
          <t>VERIFY LIVE with CA/CS. Form 16 typically by 15 Jun; 16A within 15 days of each quarterly return due date.</t>
        </is>
      </c>
    </row>
    <row r="15">
      <c r="A15" s="6" t="inlineStr">
        <is>
          <t>Advance tax — 1st instalment (15 %)</t>
        </is>
      </c>
      <c r="B15" s="29" t="inlineStr">
        <is>
          <t>Income tax</t>
        </is>
      </c>
      <c r="C15" s="6" t="inlineStr">
        <is>
          <t>Challan ITNS-280</t>
        </is>
      </c>
      <c r="D15" s="29" t="inlineStr">
        <is>
          <t>Quarterly</t>
        </is>
      </c>
      <c r="E15" s="61" t="n">
        <v>46188</v>
      </c>
      <c r="F15" s="29" t="inlineStr">
        <is>
          <t>CA/CS (external)</t>
        </is>
      </c>
      <c r="G15" s="29" t="inlineStr">
        <is>
          <t>Unknown – verify</t>
        </is>
      </c>
      <c r="H15" s="61" t="n"/>
      <c r="I15" s="62">
        <f>IF(G15="Filed/Done","",IF(G15="N/A","",IF(E15="","",E15-TODAY())))</f>
        <v/>
      </c>
      <c r="J15" s="44" t="inlineStr">
        <is>
          <t>VERIFY LIVE with CA/CS. Only if estimated tax ≥ ₹10,000; loss-making startups may owe nil — record the CA's call.</t>
        </is>
      </c>
    </row>
    <row r="16">
      <c r="A16" s="6" t="inlineStr">
        <is>
          <t>Advance tax — 2nd instalment (45 %)</t>
        </is>
      </c>
      <c r="B16" s="29" t="inlineStr">
        <is>
          <t>Income tax</t>
        </is>
      </c>
      <c r="C16" s="6" t="inlineStr">
        <is>
          <t>Challan ITNS-280</t>
        </is>
      </c>
      <c r="D16" s="29" t="inlineStr">
        <is>
          <t>Quarterly</t>
        </is>
      </c>
      <c r="E16" s="61" t="n">
        <v>46280</v>
      </c>
      <c r="F16" s="29" t="inlineStr">
        <is>
          <t>CA/CS (external)</t>
        </is>
      </c>
      <c r="G16" s="29" t="inlineStr">
        <is>
          <t>Not started</t>
        </is>
      </c>
      <c r="H16" s="61" t="n"/>
      <c r="I16" s="62">
        <f>IF(G16="Filed/Done","",IF(G16="N/A","",IF(E16="","",E16-TODAY())))</f>
        <v/>
      </c>
      <c r="J16" s="44" t="inlineStr">
        <is>
          <t>VERIFY LIVE with CA/CS. Typically 15 Sep.</t>
        </is>
      </c>
    </row>
    <row r="17">
      <c r="A17" s="6" t="inlineStr">
        <is>
          <t>Advance tax — 3rd instalment (75 %)</t>
        </is>
      </c>
      <c r="B17" s="29" t="inlineStr">
        <is>
          <t>Income tax</t>
        </is>
      </c>
      <c r="C17" s="6" t="inlineStr">
        <is>
          <t>Challan ITNS-280</t>
        </is>
      </c>
      <c r="D17" s="29" t="inlineStr">
        <is>
          <t>Quarterly</t>
        </is>
      </c>
      <c r="E17" s="61" t="n">
        <v>46371</v>
      </c>
      <c r="F17" s="29" t="inlineStr">
        <is>
          <t>CA/CS (external)</t>
        </is>
      </c>
      <c r="G17" s="29" t="inlineStr">
        <is>
          <t>Not started</t>
        </is>
      </c>
      <c r="H17" s="61" t="n"/>
      <c r="I17" s="62">
        <f>IF(G17="Filed/Done","",IF(G17="N/A","",IF(E17="","",E17-TODAY())))</f>
        <v/>
      </c>
      <c r="J17" s="44" t="inlineStr">
        <is>
          <t>VERIFY LIVE with CA/CS. Typically 15 Dec.</t>
        </is>
      </c>
    </row>
    <row r="18">
      <c r="A18" s="6" t="inlineStr">
        <is>
          <t>Advance tax — 4th instalment (100 %)</t>
        </is>
      </c>
      <c r="B18" s="29" t="inlineStr">
        <is>
          <t>Income tax</t>
        </is>
      </c>
      <c r="C18" s="6" t="inlineStr">
        <is>
          <t>Challan ITNS-280</t>
        </is>
      </c>
      <c r="D18" s="29" t="inlineStr">
        <is>
          <t>Quarterly</t>
        </is>
      </c>
      <c r="E18" s="61" t="n">
        <v>46461</v>
      </c>
      <c r="F18" s="29" t="inlineStr">
        <is>
          <t>CA/CS (external)</t>
        </is>
      </c>
      <c r="G18" s="29" t="inlineStr">
        <is>
          <t>Not started</t>
        </is>
      </c>
      <c r="H18" s="61" t="n"/>
      <c r="I18" s="62">
        <f>IF(G18="Filed/Done","",IF(G18="N/A","",IF(E18="","",E18-TODAY())))</f>
        <v/>
      </c>
      <c r="J18" s="44" t="inlineStr">
        <is>
          <t>VERIFY LIVE with CA/CS. Typically 15 Mar.</t>
        </is>
      </c>
    </row>
    <row r="19">
      <c r="A19" s="6" t="inlineStr">
        <is>
          <t>Income-tax return FY 2025-26 (company)</t>
        </is>
      </c>
      <c r="B19" s="29" t="inlineStr">
        <is>
          <t>Income tax</t>
        </is>
      </c>
      <c r="C19" s="6" t="inlineStr">
        <is>
          <t>ITR-6</t>
        </is>
      </c>
      <c r="D19" s="29" t="inlineStr">
        <is>
          <t>Annual</t>
        </is>
      </c>
      <c r="E19" s="61" t="n">
        <v>46326</v>
      </c>
      <c r="F19" s="29" t="inlineStr">
        <is>
          <t>CA/CS (external)</t>
        </is>
      </c>
      <c r="G19" s="29" t="inlineStr">
        <is>
          <t>Not started</t>
        </is>
      </c>
      <c r="H19" s="61" t="n"/>
      <c r="I19" s="62">
        <f>IF(G19="Filed/Done","",IF(G19="N/A","",IF(E19="","",E19-TODAY())))</f>
        <v/>
      </c>
      <c r="J19" s="44" t="inlineStr">
        <is>
          <t>VERIFY LIVE with CA/CS. Typically 31 Oct for audited companies (30 Sep for tax-audit report 3CA/3CD if applicable). Startup 80-IAC choices need CA input.</t>
        </is>
      </c>
    </row>
    <row r="20">
      <c r="A20" s="6" t="inlineStr">
        <is>
          <t>Statutory audit FY 2025-26 — books closed, audit report signed</t>
        </is>
      </c>
      <c r="B20" s="29" t="inlineStr">
        <is>
          <t>ROC / Companies Act</t>
        </is>
      </c>
      <c r="C20" s="6" t="inlineStr">
        <is>
          <t>Audit report</t>
        </is>
      </c>
      <c r="D20" s="29" t="inlineStr">
        <is>
          <t>Annual</t>
        </is>
      </c>
      <c r="E20" s="61" t="n">
        <v>46280</v>
      </c>
      <c r="F20" s="29" t="inlineStr">
        <is>
          <t>COO</t>
        </is>
      </c>
      <c r="G20" s="29" t="inlineStr">
        <is>
          <t>In progress</t>
        </is>
      </c>
      <c r="H20" s="61" t="n"/>
      <c r="I20" s="62">
        <f>IF(G20="Filed/Done","",IF(G20="N/A","",IF(E20="","",E20-TODAY())))</f>
        <v/>
      </c>
      <c r="J20" s="44" t="inlineStr">
        <is>
          <t>VERIFY LIVE with CA/CS. Mandatory for every Pvt Ltd (finance course Phase 5); must finish before the AGM.</t>
        </is>
      </c>
    </row>
    <row r="21">
      <c r="A21" s="6" t="inlineStr">
        <is>
          <t>Annual General Meeting FY 2025-26</t>
        </is>
      </c>
      <c r="B21" s="29" t="inlineStr">
        <is>
          <t>ROC / Companies Act</t>
        </is>
      </c>
      <c r="C21" s="6" t="inlineStr">
        <is>
          <t>AGM notice + minutes</t>
        </is>
      </c>
      <c r="D21" s="29" t="inlineStr">
        <is>
          <t>Annual</t>
        </is>
      </c>
      <c r="E21" s="61" t="n">
        <v>46295</v>
      </c>
      <c r="F21" s="29" t="inlineStr">
        <is>
          <t>CEO/CTO</t>
        </is>
      </c>
      <c r="G21" s="29" t="inlineStr">
        <is>
          <t>Not started</t>
        </is>
      </c>
      <c r="H21" s="61" t="n"/>
      <c r="I21" s="62">
        <f>IF(G21="Filed/Done","",IF(G21="N/A","",IF(E21="","",E21-TODAY())))</f>
        <v/>
      </c>
      <c r="J21" s="44" t="inlineStr">
        <is>
          <t>VERIFY LIVE with CA/CS. Within 6 months of FY end (30 Sep); 21 clear days' notice unless shorter notice consented.</t>
        </is>
      </c>
    </row>
    <row r="22">
      <c r="A22" s="6" t="inlineStr">
        <is>
          <t>AOC-4 — financial statements filing</t>
        </is>
      </c>
      <c r="B22" s="29" t="inlineStr">
        <is>
          <t>ROC / Companies Act</t>
        </is>
      </c>
      <c r="C22" s="6" t="inlineStr">
        <is>
          <t>AOC-4</t>
        </is>
      </c>
      <c r="D22" s="29" t="inlineStr">
        <is>
          <t>Annual</t>
        </is>
      </c>
      <c r="E22" s="61" t="n">
        <v>46324</v>
      </c>
      <c r="F22" s="29" t="inlineStr">
        <is>
          <t>CA/CS (external)</t>
        </is>
      </c>
      <c r="G22" s="29" t="inlineStr">
        <is>
          <t>Not started</t>
        </is>
      </c>
      <c r="H22" s="61" t="n"/>
      <c r="I22" s="62">
        <f>IF(G22="Filed/Done","",IF(G22="N/A","",IF(E22="","",E22-TODAY())))</f>
        <v/>
      </c>
      <c r="J22" s="44" t="inlineStr">
        <is>
          <t>VERIFY LIVE with CA/CS. Within 30 days of the AGM (29 Oct if AGM on 30 Sep). Late fee ₹100/day.</t>
        </is>
      </c>
    </row>
    <row r="23">
      <c r="A23" s="6" t="inlineStr">
        <is>
          <t>MGT-7A — annual return (small company)</t>
        </is>
      </c>
      <c r="B23" s="29" t="inlineStr">
        <is>
          <t>ROC / Companies Act</t>
        </is>
      </c>
      <c r="C23" s="6" t="inlineStr">
        <is>
          <t>MGT-7A</t>
        </is>
      </c>
      <c r="D23" s="29" t="inlineStr">
        <is>
          <t>Annual</t>
        </is>
      </c>
      <c r="E23" s="61" t="n">
        <v>46355</v>
      </c>
      <c r="F23" s="29" t="inlineStr">
        <is>
          <t>CA/CS (external)</t>
        </is>
      </c>
      <c r="G23" s="29" t="inlineStr">
        <is>
          <t>Not started</t>
        </is>
      </c>
      <c r="H23" s="61" t="n"/>
      <c r="I23" s="62">
        <f>IF(G23="Filed/Done","",IF(G23="N/A","",IF(E23="","",E23-TODAY())))</f>
        <v/>
      </c>
      <c r="J23" s="44" t="inlineStr">
        <is>
          <t>VERIFY LIVE with CA/CS. Within 60 days of the AGM (29 Nov). MGT-7A applies to small companies/OPCs — confirm we qualify.</t>
        </is>
      </c>
    </row>
    <row r="24">
      <c r="A24" s="6" t="inlineStr">
        <is>
          <t>ADT-1 — auditor appointment / re-appointment</t>
        </is>
      </c>
      <c r="B24" s="29" t="inlineStr">
        <is>
          <t>ROC / Companies Act</t>
        </is>
      </c>
      <c r="C24" s="6" t="inlineStr">
        <is>
          <t>ADT-1</t>
        </is>
      </c>
      <c r="D24" s="29" t="inlineStr">
        <is>
          <t>Annual</t>
        </is>
      </c>
      <c r="E24" s="61" t="n">
        <v>46310</v>
      </c>
      <c r="F24" s="29" t="inlineStr">
        <is>
          <t>CA/CS (external)</t>
        </is>
      </c>
      <c r="G24" s="29" t="inlineStr">
        <is>
          <t>Not started</t>
        </is>
      </c>
      <c r="H24" s="61" t="n"/>
      <c r="I24" s="62">
        <f>IF(G24="Filed/Done","",IF(G24="N/A","",IF(E24="","",E24-TODAY())))</f>
        <v/>
      </c>
      <c r="J24" s="44" t="inlineStr">
        <is>
          <t>VERIFY LIVE with CA/CS. Within 15 days of the AGM at which the auditor is appointed; first auditor was a board appointment (2021) — check the 5-year term.</t>
        </is>
      </c>
    </row>
    <row r="25">
      <c r="A25" s="6" t="inlineStr">
        <is>
          <t>DIR-3 KYC — each director's KYC</t>
        </is>
      </c>
      <c r="B25" s="29" t="inlineStr">
        <is>
          <t>ROC / Companies Act</t>
        </is>
      </c>
      <c r="C25" s="6" t="inlineStr">
        <is>
          <t>DIR-3 KYC / web-KYC</t>
        </is>
      </c>
      <c r="D25" s="29" t="inlineStr">
        <is>
          <t>Annual</t>
        </is>
      </c>
      <c r="E25" s="61" t="n">
        <v>46295</v>
      </c>
      <c r="F25" s="29" t="inlineStr">
        <is>
          <t>COO</t>
        </is>
      </c>
      <c r="G25" s="29" t="inlineStr">
        <is>
          <t>Not started</t>
        </is>
      </c>
      <c r="H25" s="61" t="n"/>
      <c r="I25" s="62">
        <f>IF(G25="Filed/Done","",IF(G25="N/A","",IF(E25="","",E25-TODAY())))</f>
        <v/>
      </c>
      <c r="J25" s="44" t="inlineStr">
        <is>
          <t>VERIFY LIVE with CA/CS. Typically 30 Sep every year for every DIN holder (all 3 directors); DIN deactivated + ₹5,000 fee if missed.</t>
        </is>
      </c>
    </row>
    <row r="26">
      <c r="A26" s="6" t="inlineStr">
        <is>
          <t>INC-20A — declaration of commencement of business</t>
        </is>
      </c>
      <c r="B26" s="29" t="inlineStr">
        <is>
          <t>ROC / Companies Act</t>
        </is>
      </c>
      <c r="C26" s="6" t="inlineStr">
        <is>
          <t>INC-20A</t>
        </is>
      </c>
      <c r="D26" s="29" t="inlineStr">
        <is>
          <t>One-time</t>
        </is>
      </c>
      <c r="E26" s="61" t="n"/>
      <c r="F26" s="29" t="inlineStr">
        <is>
          <t>CA/CS (external)</t>
        </is>
      </c>
      <c r="G26" s="29" t="inlineStr">
        <is>
          <t>Unknown – verify</t>
        </is>
      </c>
      <c r="H26" s="61" t="n"/>
      <c r="I26" s="62">
        <f>IF(G26="Filed/Done","",IF(G26="N/A","",IF(E26="","",E26-TODAY())))</f>
        <v/>
      </c>
      <c r="J26" s="44" t="inlineStr">
        <is>
          <t>VERIFY LIVE with CA/CS. One-time within 180 days of incorporation (2021) — confirm it was filed; keep the SRN in the company binder (T02).</t>
        </is>
      </c>
    </row>
    <row r="27">
      <c r="A27" s="6" t="inlineStr">
        <is>
          <t>DPT-3 — return of deposits / exempted deposits (director loans)</t>
        </is>
      </c>
      <c r="B27" s="29" t="inlineStr">
        <is>
          <t>ROC / Companies Act</t>
        </is>
      </c>
      <c r="C27" s="6" t="inlineStr">
        <is>
          <t>DPT-3</t>
        </is>
      </c>
      <c r="D27" s="29" t="inlineStr">
        <is>
          <t>Annual</t>
        </is>
      </c>
      <c r="E27" s="61" t="n">
        <v>46203</v>
      </c>
      <c r="F27" s="29" t="inlineStr">
        <is>
          <t>CA/CS (external)</t>
        </is>
      </c>
      <c r="G27" s="29" t="inlineStr">
        <is>
          <t>Unknown – verify</t>
        </is>
      </c>
      <c r="H27" s="61" t="n"/>
      <c r="I27" s="62">
        <f>IF(G27="Filed/Done","",IF(G27="N/A","",IF(E27="","",E27-TODAY())))</f>
        <v/>
      </c>
      <c r="J27" s="44" t="inlineStr">
        <is>
          <t>VERIFY LIVE with CA/CS. Typically 30 Jun; needed if any director loan / advance is outstanding at 31 Mar.</t>
        </is>
      </c>
    </row>
    <row r="28">
      <c r="A28" s="6" t="inlineStr">
        <is>
          <t>MSME-1 — half-yearly return of dues to MSME suppliers &gt; 45 days (Apr–Sep)</t>
        </is>
      </c>
      <c r="B28" s="29" t="inlineStr">
        <is>
          <t>ROC / Companies Act</t>
        </is>
      </c>
      <c r="C28" s="6" t="inlineStr">
        <is>
          <t>MSME-1</t>
        </is>
      </c>
      <c r="D28" s="29" t="inlineStr">
        <is>
          <t>Half-yearly</t>
        </is>
      </c>
      <c r="E28" s="61" t="n">
        <v>46326</v>
      </c>
      <c r="F28" s="29" t="inlineStr">
        <is>
          <t>CA/CS (external)</t>
        </is>
      </c>
      <c r="G28" s="29" t="inlineStr">
        <is>
          <t>Not started</t>
        </is>
      </c>
      <c r="H28" s="61" t="n"/>
      <c r="I28" s="62">
        <f>IF(G28="Filed/Done","",IF(G28="N/A","",IF(E28="","",E28-TODAY())))</f>
        <v/>
      </c>
      <c r="J28" s="44" t="inlineStr">
        <is>
          <t>VERIFY LIVE with CA/CS. Typically 31 Oct (Apr–Sep) and 30 Apr (Oct–Mar); only if such dues exist.</t>
        </is>
      </c>
    </row>
    <row r="29">
      <c r="A29" s="6" t="inlineStr">
        <is>
          <t>Board meeting — Q2 (minutes, MBP-1/DIR-8 disclosures at first meeting of FY)</t>
        </is>
      </c>
      <c r="B29" s="29" t="inlineStr">
        <is>
          <t>ROC / Companies Act</t>
        </is>
      </c>
      <c r="C29" s="6" t="inlineStr">
        <is>
          <t>Minutes / MBP-1 / DIR-8</t>
        </is>
      </c>
      <c r="D29" s="29" t="inlineStr">
        <is>
          <t>Quarterly</t>
        </is>
      </c>
      <c r="E29" s="61" t="n">
        <v>46290</v>
      </c>
      <c r="F29" s="29" t="inlineStr">
        <is>
          <t>CEO/CTO</t>
        </is>
      </c>
      <c r="G29" s="29" t="inlineStr">
        <is>
          <t>Not started</t>
        </is>
      </c>
      <c r="H29" s="61" t="n"/>
      <c r="I29" s="62">
        <f>IF(G29="Filed/Done","",IF(G29="N/A","",IF(E29="","",E29-TODAY())))</f>
        <v/>
      </c>
      <c r="J29" s="44" t="inlineStr">
        <is>
          <t>VERIFY LIVE with CA/CS. Small company minimum: one meeting per half of the calendar year, ≥ 90 days apart; we hold quarterly anyway (T19). Keep signed minutes.</t>
        </is>
      </c>
    </row>
    <row r="30">
      <c r="A30" s="6" t="inlineStr">
        <is>
          <t>PF — ECR filing &amp; payment for Aug 2026</t>
        </is>
      </c>
      <c r="B30" s="29" t="inlineStr">
        <is>
          <t>Labour</t>
        </is>
      </c>
      <c r="C30" s="6" t="inlineStr">
        <is>
          <t>ECR (EPFO)</t>
        </is>
      </c>
      <c r="D30" s="29" t="inlineStr">
        <is>
          <t>Monthly</t>
        </is>
      </c>
      <c r="E30" s="61" t="n">
        <v>46280</v>
      </c>
      <c r="F30" s="29" t="inlineStr">
        <is>
          <t>CA/CS (external)</t>
        </is>
      </c>
      <c r="G30" s="29" t="inlineStr">
        <is>
          <t>N/A</t>
        </is>
      </c>
      <c r="H30" s="61" t="n"/>
      <c r="I30" s="62">
        <f>IF(G30="Filed/Done","",IF(G30="N/A","",IF(E30="","",E30-TODAY())))</f>
        <v/>
      </c>
      <c r="J30" s="44" t="inlineStr">
        <is>
          <t>VERIFY LIVE with CA/CS. Typically 15th of next month; mandatory at 20+ employees (voluntary earlier). Set to N/A until threshold — re-check every hire.</t>
        </is>
      </c>
    </row>
    <row r="31">
      <c r="A31" s="6" t="inlineStr">
        <is>
          <t>ESI — contribution &amp; return for Aug 2026</t>
        </is>
      </c>
      <c r="B31" s="29" t="inlineStr">
        <is>
          <t>Labour</t>
        </is>
      </c>
      <c r="C31" s="6" t="inlineStr">
        <is>
          <t>ESIC challan</t>
        </is>
      </c>
      <c r="D31" s="29" t="inlineStr">
        <is>
          <t>Monthly</t>
        </is>
      </c>
      <c r="E31" s="61" t="n">
        <v>46280</v>
      </c>
      <c r="F31" s="29" t="inlineStr">
        <is>
          <t>CA/CS (external)</t>
        </is>
      </c>
      <c r="G31" s="29" t="inlineStr">
        <is>
          <t>N/A</t>
        </is>
      </c>
      <c r="H31" s="61" t="n"/>
      <c r="I31" s="62">
        <f>IF(G31="Filed/Done","",IF(G31="N/A","",IF(E31="","",E31-TODAY())))</f>
        <v/>
      </c>
      <c r="J31" s="44" t="inlineStr">
        <is>
          <t>VERIFY LIVE with CA/CS. Typically 15th; applies at 10+ employees within the wage ceiling (₹21,000/month) — confirm applicability.</t>
        </is>
      </c>
    </row>
    <row r="32">
      <c r="A32" s="6" t="inlineStr">
        <is>
          <t>Professional Tax (Chhattisgarh) — deduction &amp; payment</t>
        </is>
      </c>
      <c r="B32" s="29" t="inlineStr">
        <is>
          <t>Labour</t>
        </is>
      </c>
      <c r="C32" s="6" t="inlineStr">
        <is>
          <t>CG PT challan / return</t>
        </is>
      </c>
      <c r="D32" s="29" t="inlineStr">
        <is>
          <t>Monthly</t>
        </is>
      </c>
      <c r="E32" s="61" t="n">
        <v>46275</v>
      </c>
      <c r="F32" s="29" t="inlineStr">
        <is>
          <t>CA/CS (external)</t>
        </is>
      </c>
      <c r="G32" s="29" t="inlineStr">
        <is>
          <t>Not started</t>
        </is>
      </c>
      <c r="H32" s="61" t="n"/>
      <c r="I32" s="62">
        <f>IF(G32="Filed/Done","",IF(G32="N/A","",IF(E32="","",E32-TODAY())))</f>
        <v/>
      </c>
      <c r="J32" s="44" t="inlineStr">
        <is>
          <t>VERIFY LIVE with CA/CS. CG Vritti Kar Adhiniyam 1995 — confirm slabs, periodicity (monthly/quarterly) and due date with the CA; register employer + enrolment certificate.</t>
        </is>
      </c>
    </row>
    <row r="33">
      <c r="A33" s="6" t="inlineStr">
        <is>
          <t>Shops &amp; Establishment (CG) — registration / renewal</t>
        </is>
      </c>
      <c r="B33" s="29" t="inlineStr">
        <is>
          <t>Labour</t>
        </is>
      </c>
      <c r="C33" s="6" t="inlineStr">
        <is>
          <t>CG S&amp;E certificate</t>
        </is>
      </c>
      <c r="D33" s="29" t="inlineStr">
        <is>
          <t>Annual</t>
        </is>
      </c>
      <c r="E33" s="61" t="n">
        <v>46477</v>
      </c>
      <c r="F33" s="29" t="inlineStr">
        <is>
          <t>COO</t>
        </is>
      </c>
      <c r="G33" s="29" t="inlineStr">
        <is>
          <t>Unknown – verify</t>
        </is>
      </c>
      <c r="H33" s="61" t="n"/>
      <c r="I33" s="62">
        <f>IF(G33="Filed/Done","",IF(G33="N/A","",IF(E33="","",E33-TODAY())))</f>
        <v/>
      </c>
      <c r="J33" s="44" t="inlineStr">
        <is>
          <t>VERIFY LIVE with CA/CS. Renewal periodicity depends on the certificate — check the certificate date; needed even for a home/pump-based office.</t>
        </is>
      </c>
    </row>
    <row r="34">
      <c r="A34" s="6" t="inlineStr">
        <is>
          <t>Labour Codes readiness (wages, SS, IR, OSH — in force from 21 Nov 2025) — review policies &amp; contracts</t>
        </is>
      </c>
      <c r="B34" s="29" t="inlineStr">
        <is>
          <t>Labour</t>
        </is>
      </c>
      <c r="C34" s="6" t="inlineStr">
        <is>
          <t>—</t>
        </is>
      </c>
      <c r="D34" s="29" t="inlineStr">
        <is>
          <t>Half-yearly</t>
        </is>
      </c>
      <c r="E34" s="61" t="n">
        <v>46310</v>
      </c>
      <c r="F34" s="29" t="inlineStr">
        <is>
          <t>COO</t>
        </is>
      </c>
      <c r="G34" s="29" t="inlineStr">
        <is>
          <t>Not started</t>
        </is>
      </c>
      <c r="H34" s="61" t="n"/>
      <c r="I34" s="62">
        <f>IF(G34="Filed/Done","",IF(G34="N/A","",IF(E34="","",E34-TODAY())))</f>
        <v/>
      </c>
      <c r="J34" s="44" t="inlineStr">
        <is>
          <t>VERIFY LIVE with CA/CS. Confirm state rules and thresholds with the CA/lawyer; update appointment letters, leave and wage definitions (lesson 09).</t>
        </is>
      </c>
    </row>
    <row r="35">
      <c r="A35" s="6" t="inlineStr">
        <is>
          <t>POSH — Internal Committee (10+ employees) &amp; annual report</t>
        </is>
      </c>
      <c r="B35" s="29" t="inlineStr">
        <is>
          <t>Labour</t>
        </is>
      </c>
      <c r="C35" s="6" t="inlineStr">
        <is>
          <t>POSH annual report</t>
        </is>
      </c>
      <c r="D35" s="29" t="inlineStr">
        <is>
          <t>Annual</t>
        </is>
      </c>
      <c r="E35" s="61" t="n">
        <v>46418</v>
      </c>
      <c r="F35" s="29" t="inlineStr">
        <is>
          <t>COO</t>
        </is>
      </c>
      <c r="G35" s="29" t="inlineStr">
        <is>
          <t>Not started</t>
        </is>
      </c>
      <c r="H35" s="61" t="n"/>
      <c r="I35" s="62">
        <f>IF(G35="Filed/Done","",IF(G35="N/A","",IF(E35="","",E35-TODAY())))</f>
        <v/>
      </c>
      <c r="J35" s="44" t="inlineStr">
        <is>
          <t>VERIFY LIVE with CA/CS. Policy is mandatory from day one; IC + annual report to District Officer once 10+ employees — confirm the filing route in Raipur.</t>
        </is>
      </c>
    </row>
    <row r="36">
      <c r="A36" s="6" t="inlineStr">
        <is>
          <t>DPDP Act 2023 &amp; Rules — obligations review (notices, consent, grievance channel, retention, breach process)</t>
        </is>
      </c>
      <c r="B36" s="29" t="inlineStr">
        <is>
          <t>DPDP / data</t>
        </is>
      </c>
      <c r="C36" s="6" t="inlineStr">
        <is>
          <t>Internal review</t>
        </is>
      </c>
      <c r="D36" s="29" t="inlineStr">
        <is>
          <t>Quarterly</t>
        </is>
      </c>
      <c r="E36" s="61" t="n">
        <v>46296</v>
      </c>
      <c r="F36" s="29" t="inlineStr">
        <is>
          <t>COO</t>
        </is>
      </c>
      <c r="G36" s="29" t="inlineStr">
        <is>
          <t>Not started</t>
        </is>
      </c>
      <c r="H36" s="61" t="n"/>
      <c r="I36" s="62">
        <f>IF(G36="Filed/Done","",IF(G36="N/A","",IF(E36="","",E36-TODAY())))</f>
        <v/>
      </c>
      <c r="J36" s="44" t="inlineStr">
        <is>
          <t>VERIFY LIVE with CA/CS. Rules notified 2025 with phased timelines — check which duties are live this quarter; keep the data map current (lesson 12).</t>
        </is>
      </c>
    </row>
    <row r="37">
      <c r="A37" s="6" t="inlineStr">
        <is>
          <t>CERT-In incident-reporting readiness (6-hour reporting rule) — drill</t>
        </is>
      </c>
      <c r="B37" s="29" t="inlineStr">
        <is>
          <t>DPDP / data</t>
        </is>
      </c>
      <c r="C37" s="6" t="inlineStr">
        <is>
          <t>Incident SOP (T17)</t>
        </is>
      </c>
      <c r="D37" s="29" t="inlineStr">
        <is>
          <t>Quarterly</t>
        </is>
      </c>
      <c r="E37" s="61" t="n">
        <v>46296</v>
      </c>
      <c r="F37" s="29" t="inlineStr">
        <is>
          <t>CEO/CTO</t>
        </is>
      </c>
      <c r="G37" s="29" t="inlineStr">
        <is>
          <t>Not started</t>
        </is>
      </c>
      <c r="H37" s="61" t="n"/>
      <c r="I37" s="62">
        <f>IF(G37="Filed/Done","",IF(G37="N/A","",IF(E37="","",E37-TODAY())))</f>
        <v/>
      </c>
      <c r="J37" s="44" t="inlineStr">
        <is>
          <t>VERIFY LIVE with CA/CS. Confirm the current CERT-In directions and log-retention rules; run a tabletop drill each quarter.</t>
        </is>
      </c>
    </row>
    <row r="38">
      <c r="A38" s="6" t="inlineStr">
        <is>
          <t>Insurance renewals — group health / D&amp;O / E&amp;O / cyber (policy anniversaries)</t>
        </is>
      </c>
      <c r="B38" s="29" t="inlineStr">
        <is>
          <t>Insurance</t>
        </is>
      </c>
      <c r="C38" s="6" t="inlineStr">
        <is>
          <t>Policy schedule</t>
        </is>
      </c>
      <c r="D38" s="29" t="inlineStr">
        <is>
          <t>Annual</t>
        </is>
      </c>
      <c r="E38" s="61" t="n">
        <v>46418</v>
      </c>
      <c r="F38" s="29" t="inlineStr">
        <is>
          <t>COO</t>
        </is>
      </c>
      <c r="G38" s="29" t="inlineStr">
        <is>
          <t>Not started</t>
        </is>
      </c>
      <c r="H38" s="61" t="n"/>
      <c r="I38" s="62">
        <f>IF(G38="Filed/Done","",IF(G38="N/A","",IF(E38="","",E38-TODAY())))</f>
        <v/>
      </c>
      <c r="J38" s="44" t="inlineStr">
        <is>
          <t>Replace with actual policy dates once bought (lesson 13). Broker quotes VERIFY LIVE.</t>
        </is>
      </c>
    </row>
    <row r="39">
      <c r="A39" s="6" t="inlineStr">
        <is>
          <t>Domain, DNS &amp; SSL renewals (company + DZZLO domains)</t>
        </is>
      </c>
      <c r="B39" s="29" t="inlineStr">
        <is>
          <t>Other</t>
        </is>
      </c>
      <c r="C39" s="6" t="inlineStr">
        <is>
          <t>Registrar / ACM</t>
        </is>
      </c>
      <c r="D39" s="29" t="inlineStr">
        <is>
          <t>Annual</t>
        </is>
      </c>
      <c r="E39" s="61" t="n">
        <v>46446</v>
      </c>
      <c r="F39" s="29" t="inlineStr">
        <is>
          <t>CEO/CTO</t>
        </is>
      </c>
      <c r="G39" s="29" t="inlineStr">
        <is>
          <t>Not started</t>
        </is>
      </c>
      <c r="H39" s="61" t="n"/>
      <c r="I39" s="62">
        <f>IF(G39="Filed/Done","",IF(G39="N/A","",IF(E39="","",E39-TODAY())))</f>
        <v/>
      </c>
      <c r="J39" s="44" t="inlineStr">
        <is>
          <t>Example date — check the registrar; turn on auto-renew with the company card; keep the registrar login in the shared vault.</t>
        </is>
      </c>
    </row>
    <row r="40">
      <c r="A40" s="6" t="inlineStr">
        <is>
          <t>Apple Developer Program &amp; Google Play — account, agreements &amp; tax forms current</t>
        </is>
      </c>
      <c r="B40" s="29" t="inlineStr">
        <is>
          <t>Other</t>
        </is>
      </c>
      <c r="C40" s="6" t="inlineStr">
        <is>
          <t>App Store Connect / Play Console</t>
        </is>
      </c>
      <c r="D40" s="29" t="inlineStr">
        <is>
          <t>Annual</t>
        </is>
      </c>
      <c r="E40" s="61" t="n">
        <v>46433</v>
      </c>
      <c r="F40" s="29" t="inlineStr">
        <is>
          <t>CEO/CTO</t>
        </is>
      </c>
      <c r="G40" s="29" t="inlineStr">
        <is>
          <t>Not started</t>
        </is>
      </c>
      <c r="H40" s="61" t="n"/>
      <c r="I40" s="62">
        <f>IF(G40="Filed/Done","",IF(G40="N/A","",IF(E40="","",E40-TODAY())))</f>
        <v/>
      </c>
      <c r="J40" s="44" t="inlineStr">
        <is>
          <t>Example date — Apple membership renews yearly (USD 99 VERIFY LIVE); accept updated agreements promptly or builds are blocked.</t>
        </is>
      </c>
    </row>
    <row r="41">
      <c r="A41" s="6" t="inlineStr">
        <is>
          <t>Startup India (DPIIT) / Udyam details — keep current (address, turnover, directors)</t>
        </is>
      </c>
      <c r="B41" s="29" t="inlineStr">
        <is>
          <t>Other</t>
        </is>
      </c>
      <c r="C41" s="6" t="inlineStr">
        <is>
          <t>Startup India / Udyam portal</t>
        </is>
      </c>
      <c r="D41" s="29" t="inlineStr">
        <is>
          <t>Annual</t>
        </is>
      </c>
      <c r="E41" s="61" t="n">
        <v>46477</v>
      </c>
      <c r="F41" s="29" t="inlineStr">
        <is>
          <t>COO</t>
        </is>
      </c>
      <c r="G41" s="29" t="inlineStr">
        <is>
          <t>Not started</t>
        </is>
      </c>
      <c r="H41" s="61" t="n"/>
      <c r="I41" s="62">
        <f>IF(G41="Filed/Done","",IF(G41="N/A","",IF(E41="","",E41-TODAY())))</f>
        <v/>
      </c>
      <c r="J41" s="44" t="inlineStr">
        <is>
          <t>VERIFY LIVE with CA/CS. No renewal fee; update details after any change; benefits list in lesson 05.</t>
        </is>
      </c>
    </row>
    <row r="42">
      <c r="A42" s="6" t="n"/>
      <c r="B42" s="19" t="n"/>
      <c r="C42" s="6" t="n"/>
      <c r="D42" s="19" t="n"/>
      <c r="E42" s="63" t="n"/>
      <c r="F42" s="19" t="n"/>
      <c r="G42" s="19" t="n"/>
      <c r="H42" s="63" t="n"/>
      <c r="I42" s="62">
        <f>IF(G42="Filed/Done","",IF(G42="N/A","",IF(E42="","",E42-TODAY())))</f>
        <v/>
      </c>
      <c r="J42" s="6" t="n"/>
    </row>
    <row r="43">
      <c r="A43" s="6" t="n"/>
      <c r="B43" s="19" t="n"/>
      <c r="C43" s="6" t="n"/>
      <c r="D43" s="19" t="n"/>
      <c r="E43" s="63" t="n"/>
      <c r="F43" s="19" t="n"/>
      <c r="G43" s="19" t="n"/>
      <c r="H43" s="63" t="n"/>
      <c r="I43" s="62">
        <f>IF(G43="Filed/Done","",IF(G43="N/A","",IF(E43="","",E43-TODAY())))</f>
        <v/>
      </c>
      <c r="J43" s="6" t="n"/>
    </row>
    <row r="44">
      <c r="A44" s="6" t="n"/>
      <c r="B44" s="19" t="n"/>
      <c r="C44" s="6" t="n"/>
      <c r="D44" s="19" t="n"/>
      <c r="E44" s="63" t="n"/>
      <c r="F44" s="19" t="n"/>
      <c r="G44" s="19" t="n"/>
      <c r="H44" s="63" t="n"/>
      <c r="I44" s="62">
        <f>IF(G44="Filed/Done","",IF(G44="N/A","",IF(E44="","",E44-TODAY())))</f>
        <v/>
      </c>
      <c r="J44" s="6" t="n"/>
    </row>
    <row r="45">
      <c r="A45" s="6" t="n"/>
      <c r="B45" s="19" t="n"/>
      <c r="C45" s="6" t="n"/>
      <c r="D45" s="19" t="n"/>
      <c r="E45" s="63" t="n"/>
      <c r="F45" s="19" t="n"/>
      <c r="G45" s="19" t="n"/>
      <c r="H45" s="63" t="n"/>
      <c r="I45" s="62">
        <f>IF(G45="Filed/Done","",IF(G45="N/A","",IF(E45="","",E45-TODAY())))</f>
        <v/>
      </c>
      <c r="J45" s="6" t="n"/>
    </row>
    <row r="46">
      <c r="A46" s="6" t="n"/>
      <c r="B46" s="19" t="n"/>
      <c r="C46" s="6" t="n"/>
      <c r="D46" s="19" t="n"/>
      <c r="E46" s="63" t="n"/>
      <c r="F46" s="19" t="n"/>
      <c r="G46" s="19" t="n"/>
      <c r="H46" s="63" t="n"/>
      <c r="I46" s="62">
        <f>IF(G46="Filed/Done","",IF(G46="N/A","",IF(E46="","",E46-TODAY())))</f>
        <v/>
      </c>
      <c r="J46" s="6" t="n"/>
    </row>
    <row r="47">
      <c r="A47" s="6" t="n"/>
      <c r="B47" s="19" t="n"/>
      <c r="C47" s="6" t="n"/>
      <c r="D47" s="19" t="n"/>
      <c r="E47" s="63" t="n"/>
      <c r="F47" s="19" t="n"/>
      <c r="G47" s="19" t="n"/>
      <c r="H47" s="63" t="n"/>
      <c r="I47" s="62">
        <f>IF(G47="Filed/Done","",IF(G47="N/A","",IF(E47="","",E47-TODAY())))</f>
        <v/>
      </c>
      <c r="J47" s="6" t="n"/>
    </row>
    <row r="48">
      <c r="A48" s="6" t="n"/>
      <c r="B48" s="19" t="n"/>
      <c r="C48" s="6" t="n"/>
      <c r="D48" s="19" t="n"/>
      <c r="E48" s="63" t="n"/>
      <c r="F48" s="19" t="n"/>
      <c r="G48" s="19" t="n"/>
      <c r="H48" s="63" t="n"/>
      <c r="I48" s="62">
        <f>IF(G48="Filed/Done","",IF(G48="N/A","",IF(E48="","",E48-TODAY())))</f>
        <v/>
      </c>
      <c r="J48" s="6" t="n"/>
    </row>
    <row r="49">
      <c r="A49" s="6" t="n"/>
      <c r="B49" s="19" t="n"/>
      <c r="C49" s="6" t="n"/>
      <c r="D49" s="19" t="n"/>
      <c r="E49" s="63" t="n"/>
      <c r="F49" s="19" t="n"/>
      <c r="G49" s="19" t="n"/>
      <c r="H49" s="63" t="n"/>
      <c r="I49" s="62">
        <f>IF(G49="Filed/Done","",IF(G49="N/A","",IF(E49="","",E49-TODAY())))</f>
        <v/>
      </c>
      <c r="J49" s="6" t="n"/>
    </row>
    <row r="50">
      <c r="A50" s="6" t="n"/>
      <c r="B50" s="19" t="n"/>
      <c r="C50" s="6" t="n"/>
      <c r="D50" s="19" t="n"/>
      <c r="E50" s="63" t="n"/>
      <c r="F50" s="19" t="n"/>
      <c r="G50" s="19" t="n"/>
      <c r="H50" s="63" t="n"/>
      <c r="I50" s="62">
        <f>IF(G50="Filed/Done","",IF(G50="N/A","",IF(E50="","",E50-TODAY())))</f>
        <v/>
      </c>
      <c r="J50" s="6" t="n"/>
    </row>
    <row r="51">
      <c r="A51" s="6" t="n"/>
      <c r="B51" s="19" t="n"/>
      <c r="C51" s="6" t="n"/>
      <c r="D51" s="19" t="n"/>
      <c r="E51" s="63" t="n"/>
      <c r="F51" s="19" t="n"/>
      <c r="G51" s="19" t="n"/>
      <c r="H51" s="63" t="n"/>
      <c r="I51" s="62">
        <f>IF(G51="Filed/Done","",IF(G51="N/A","",IF(E51="","",E51-TODAY())))</f>
        <v/>
      </c>
      <c r="J51" s="6" t="n"/>
    </row>
  </sheetData>
  <autoFilter ref="A4:J51"/>
  <mergeCells count="2">
    <mergeCell ref="A2:H2"/>
    <mergeCell ref="A1:H1"/>
  </mergeCells>
  <conditionalFormatting sqref="I5:I51">
    <cfRule type="expression" priority="1" dxfId="0">
      <formula>IF(I5="",FALSE,I5&lt;7)</formula>
    </cfRule>
    <cfRule type="expression" priority="2" dxfId="2">
      <formula>IF(I5="",FALSE,IF(I5&lt;7,FALSE,I5&lt;30))</formula>
    </cfRule>
    <cfRule type="expression" priority="3" dxfId="1">
      <formula>IF(I5="",FALSE,I5&gt;=30)</formula>
    </cfRule>
  </conditionalFormatting>
  <conditionalFormatting sqref="G5:G51">
    <cfRule type="cellIs" priority="4" operator="equal" dxfId="1">
      <formula>"Filed/Done"</formula>
    </cfRule>
    <cfRule type="cellIs" priority="5" operator="equal" dxfId="2">
      <formula>"Unknown – verify"</formula>
    </cfRule>
    <cfRule type="cellIs" priority="6" operator="equal" dxfId="2">
      <formula>"In progress"</formula>
    </cfRule>
  </conditionalFormatting>
  <dataValidations count="4">
    <dataValidation sqref="B5:B91" showDropDown="0" showInputMessage="0" showErrorMessage="1" allowBlank="1" errorTitle="Pick from list" error="Please pick a value from the dropdown." type="list">
      <formula1>"GST,TDS,Income tax,ROC / Companies Act,Labour,DPDP / data,Insurance,Other"</formula1>
    </dataValidation>
    <dataValidation sqref="D5:D91" showDropDown="0" showInputMessage="0" showErrorMessage="1" allowBlank="1" errorTitle="Pick from list" error="Please pick a value from the dropdown." type="list">
      <formula1>"Monthly,Quarterly,Half-yearly,Annual,One-time,Ad hoc"</formula1>
    </dataValidation>
    <dataValidation sqref="F5:F91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G5:G91" showDropDown="0" showInputMessage="0" showErrorMessage="1" allowBlank="1" errorTitle="Pick from list" error="Please pick a value from the dropdown." type="list">
      <formula1>"Not started,In progress,Filed/Done,N/A,Unknown – verify"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O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16" customWidth="1" min="3" max="3"/>
    <col width="8" customWidth="1" min="4" max="4"/>
    <col width="12" customWidth="1" min="5" max="5"/>
    <col width="13" customWidth="1" min="6" max="6"/>
    <col width="13" customWidth="1" min="7" max="7"/>
    <col width="9" customWidth="1" min="8" max="8"/>
    <col width="15" customWidth="1" min="9" max="9"/>
    <col width="20" customWidth="1" min="10" max="10"/>
    <col width="11" customWidth="1" min="11" max="11"/>
    <col width="11" customWidth="1" min="12" max="12"/>
    <col width="13" customWidth="1" min="13" max="13"/>
    <col width="12" customWidth="1" min="14" max="14"/>
    <col width="46" customWidth="1" min="15" max="15"/>
  </cols>
  <sheetData>
    <row r="1" ht="40" customHeight="1">
      <c r="A1" s="1" t="inlineStr">
        <is>
          <t>Vendor &amp; Tool Register — the single list of every vendor and tool we pay for or depend on (T14): owner, cost, renewal, exportability, criticality; total monthly cost and days-to-renewal.</t>
        </is>
      </c>
    </row>
    <row r="2" ht="30" customHeight="1">
      <c r="A2" s="2" t="inlineStr">
        <is>
          <t>Pre-filled with the VSYST stack (in use / evaluating / recommended). Costs and renewal dates are blank or examples — fill from invoices; VERIFY LIVE prices with the vendor page. Amber = renewal within 60 days, red = past.</t>
        </is>
      </c>
    </row>
    <row r="4" ht="32" customHeight="1">
      <c r="A4" s="3" t="inlineStr">
        <is>
          <t>Vendor / tool</t>
        </is>
      </c>
      <c r="B4" s="3" t="inlineStr">
        <is>
          <t>Function</t>
        </is>
      </c>
      <c r="C4" s="3" t="inlineStr">
        <is>
          <t>Owner</t>
        </is>
      </c>
      <c r="D4" s="3" t="inlineStr">
        <is>
          <t>Users / seats</t>
        </is>
      </c>
      <c r="E4" s="3" t="inlineStr">
        <is>
          <t>Cost / month (₹)</t>
        </is>
      </c>
      <c r="F4" s="3" t="inlineStr">
        <is>
          <t>Billing cycle</t>
        </is>
      </c>
      <c r="G4" s="3" t="inlineStr">
        <is>
          <t>Renewal date</t>
        </is>
      </c>
      <c r="H4" s="3" t="inlineStr">
        <is>
          <t>Auto-renew?</t>
        </is>
      </c>
      <c r="I4" s="3" t="inlineStr">
        <is>
          <t>Payment method</t>
        </is>
      </c>
      <c r="J4" s="3" t="inlineStr">
        <is>
          <t>Contract / link</t>
        </is>
      </c>
      <c r="K4" s="3" t="inlineStr">
        <is>
          <t>Data exportable?</t>
        </is>
      </c>
      <c r="L4" s="3" t="inlineStr">
        <is>
          <t>Criticality</t>
        </is>
      </c>
      <c r="M4" s="3" t="inlineStr">
        <is>
          <t>Status</t>
        </is>
      </c>
      <c r="N4" s="3" t="inlineStr">
        <is>
          <t>Days to renewal</t>
        </is>
      </c>
      <c r="O4" s="3" t="inlineStr">
        <is>
          <t>Notes</t>
        </is>
      </c>
    </row>
    <row r="5">
      <c r="A5" s="6" t="inlineStr">
        <is>
          <t>GitHub (3 repos, Actions, PR templates, release_gate.sh)</t>
        </is>
      </c>
      <c r="B5" s="6" t="inlineStr">
        <is>
          <t>Source code, CI, PRs</t>
        </is>
      </c>
      <c r="C5" s="29" t="inlineStr">
        <is>
          <t>CEO/CTO</t>
        </is>
      </c>
      <c r="D5" s="4" t="inlineStr">
        <is>
          <t>3</t>
        </is>
      </c>
      <c r="E5" s="52" t="n"/>
      <c r="F5" s="29" t="inlineStr">
        <is>
          <t>Monthly</t>
        </is>
      </c>
      <c r="G5" s="61" t="n"/>
      <c r="H5" s="4" t="inlineStr">
        <is>
          <t>Y</t>
        </is>
      </c>
      <c r="I5" s="29" t="inlineStr">
        <is>
          <t>Company card</t>
        </is>
      </c>
      <c r="J5" s="6" t="n"/>
      <c r="K5" s="4" t="inlineStr">
        <is>
          <t>Y</t>
        </is>
      </c>
      <c r="L5" s="29" t="inlineStr">
        <is>
          <t>Critical</t>
        </is>
      </c>
      <c r="M5" s="29" t="inlineStr">
        <is>
          <t>In use</t>
        </is>
      </c>
      <c r="N5" s="62">
        <f>IF(G5="","",G5-TODAY())</f>
        <v/>
      </c>
      <c r="O5" s="44" t="inlineStr">
        <is>
          <t>Org owned by the company account, not a personal login; 2FA enforced.</t>
        </is>
      </c>
    </row>
    <row r="6">
      <c r="A6" s="6" t="inlineStr">
        <is>
          <t>AWS — EC2 (Ubuntu) + Nginx + PM2, SES; S3/CloudFront planned</t>
        </is>
      </c>
      <c r="B6" s="6" t="inlineStr">
        <is>
          <t>Backend hosting, email</t>
        </is>
      </c>
      <c r="C6" s="29" t="inlineStr">
        <is>
          <t>CEO/CTO</t>
        </is>
      </c>
      <c r="D6" s="4" t="inlineStr">
        <is>
          <t>—</t>
        </is>
      </c>
      <c r="E6" s="52" t="n"/>
      <c r="F6" s="29" t="inlineStr">
        <is>
          <t>Usage-based</t>
        </is>
      </c>
      <c r="G6" s="61" t="n"/>
      <c r="H6" s="4" t="inlineStr">
        <is>
          <t>Y</t>
        </is>
      </c>
      <c r="I6" s="29" t="inlineStr">
        <is>
          <t>Company card</t>
        </is>
      </c>
      <c r="J6" s="6" t="n"/>
      <c r="K6" s="4" t="inlineStr">
        <is>
          <t>Y</t>
        </is>
      </c>
      <c r="L6" s="29" t="inlineStr">
        <is>
          <t>Critical</t>
        </is>
      </c>
      <c r="M6" s="29" t="inlineStr">
        <is>
          <t>In use</t>
        </is>
      </c>
      <c r="N6" s="62">
        <f>IF(G6="","",G6-TODAY())</f>
        <v/>
      </c>
      <c r="O6" s="44" t="inlineStr">
        <is>
          <t>Set AWS Budgets alerts; root account MFA; break-glass creds in vault. Startup credits VERIFY LIVE.</t>
        </is>
      </c>
    </row>
    <row r="7">
      <c r="A7" s="6" t="inlineStr">
        <is>
          <t>MongoDB Atlas</t>
        </is>
      </c>
      <c r="B7" s="6" t="inlineStr">
        <is>
          <t>Database</t>
        </is>
      </c>
      <c r="C7" s="29" t="inlineStr">
        <is>
          <t>CEO/CTO</t>
        </is>
      </c>
      <c r="D7" s="4" t="inlineStr">
        <is>
          <t>—</t>
        </is>
      </c>
      <c r="E7" s="52" t="n"/>
      <c r="F7" s="29" t="inlineStr">
        <is>
          <t>Usage-based</t>
        </is>
      </c>
      <c r="G7" s="61" t="n"/>
      <c r="H7" s="4" t="inlineStr">
        <is>
          <t>Y</t>
        </is>
      </c>
      <c r="I7" s="29" t="inlineStr">
        <is>
          <t>Company card</t>
        </is>
      </c>
      <c r="J7" s="6" t="n"/>
      <c r="K7" s="4" t="inlineStr">
        <is>
          <t>Y</t>
        </is>
      </c>
      <c r="L7" s="29" t="inlineStr">
        <is>
          <t>Critical</t>
        </is>
      </c>
      <c r="M7" s="29" t="inlineStr">
        <is>
          <t>In use</t>
        </is>
      </c>
      <c r="N7" s="62">
        <f>IF(G7="","",G7-TODAY())</f>
        <v/>
      </c>
      <c r="O7" s="44" t="inlineStr">
        <is>
          <t>Backups on; test a restore quarterly (lesson 12).</t>
        </is>
      </c>
    </row>
    <row r="8">
      <c r="A8" s="6" t="inlineStr">
        <is>
          <t>Expo / EAS</t>
        </is>
      </c>
      <c r="B8" s="6" t="inlineStr">
        <is>
          <t>Mobile build &amp; release (React Native)</t>
        </is>
      </c>
      <c r="C8" s="29" t="inlineStr">
        <is>
          <t>CEO/CTO</t>
        </is>
      </c>
      <c r="D8" s="4" t="inlineStr">
        <is>
          <t>1</t>
        </is>
      </c>
      <c r="E8" s="52" t="n"/>
      <c r="F8" s="29" t="inlineStr">
        <is>
          <t>Monthly</t>
        </is>
      </c>
      <c r="G8" s="61" t="n"/>
      <c r="H8" s="4" t="inlineStr">
        <is>
          <t>Y</t>
        </is>
      </c>
      <c r="I8" s="29" t="inlineStr">
        <is>
          <t>Company card</t>
        </is>
      </c>
      <c r="J8" s="6" t="n"/>
      <c r="K8" s="4" t="inlineStr">
        <is>
          <t>Y</t>
        </is>
      </c>
      <c r="L8" s="29" t="inlineStr">
        <is>
          <t>High</t>
        </is>
      </c>
      <c r="M8" s="29" t="inlineStr">
        <is>
          <t>In use</t>
        </is>
      </c>
      <c r="N8" s="62">
        <f>IF(G8="","",G8-TODAY())</f>
        <v/>
      </c>
      <c r="O8" s="44" t="inlineStr">
        <is>
          <t>Build minutes plan VERIFY LIVE.</t>
        </is>
      </c>
    </row>
    <row r="9">
      <c r="A9" s="6" t="inlineStr">
        <is>
          <t>Google Play Console</t>
        </is>
      </c>
      <c r="B9" s="6" t="inlineStr">
        <is>
          <t>Android distribution</t>
        </is>
      </c>
      <c r="C9" s="29" t="inlineStr">
        <is>
          <t>CEO/CTO</t>
        </is>
      </c>
      <c r="D9" s="4" t="inlineStr">
        <is>
          <t>1</t>
        </is>
      </c>
      <c r="E9" s="52" t="n"/>
      <c r="F9" s="29" t="inlineStr">
        <is>
          <t>One-time</t>
        </is>
      </c>
      <c r="G9" s="61" t="n"/>
      <c r="H9" s="4" t="inlineStr">
        <is>
          <t>N</t>
        </is>
      </c>
      <c r="I9" s="29" t="inlineStr">
        <is>
          <t>Company card</t>
        </is>
      </c>
      <c r="J9" s="6" t="n"/>
      <c r="K9" s="4" t="inlineStr">
        <is>
          <t>Partial</t>
        </is>
      </c>
      <c r="L9" s="29" t="inlineStr">
        <is>
          <t>Critical</t>
        </is>
      </c>
      <c r="M9" s="29" t="inlineStr">
        <is>
          <t>In use</t>
        </is>
      </c>
      <c r="N9" s="62">
        <f>IF(G9="","",G9-TODAY())</f>
        <v/>
      </c>
      <c r="O9" s="44" t="inlineStr">
        <is>
          <t>One-time registration fee; keep developer agreements accepted.</t>
        </is>
      </c>
    </row>
    <row r="10">
      <c r="A10" s="6" t="inlineStr">
        <is>
          <t>Apple Developer Program + App Store Connect / TestFlight</t>
        </is>
      </c>
      <c r="B10" s="6" t="inlineStr">
        <is>
          <t>iOS distribution</t>
        </is>
      </c>
      <c r="C10" s="29" t="inlineStr">
        <is>
          <t>CEO/CTO</t>
        </is>
      </c>
      <c r="D10" s="4" t="inlineStr">
        <is>
          <t>1</t>
        </is>
      </c>
      <c r="E10" s="52" t="n"/>
      <c r="F10" s="29" t="inlineStr">
        <is>
          <t>Annual</t>
        </is>
      </c>
      <c r="G10" s="31" t="n">
        <v>46433</v>
      </c>
      <c r="H10" s="4" t="inlineStr">
        <is>
          <t>Y</t>
        </is>
      </c>
      <c r="I10" s="29" t="inlineStr">
        <is>
          <t>Company card</t>
        </is>
      </c>
      <c r="J10" s="6" t="n"/>
      <c r="K10" s="4" t="inlineStr">
        <is>
          <t>Partial</t>
        </is>
      </c>
      <c r="L10" s="29" t="inlineStr">
        <is>
          <t>Critical</t>
        </is>
      </c>
      <c r="M10" s="29" t="inlineStr">
        <is>
          <t>In use</t>
        </is>
      </c>
      <c r="N10" s="62">
        <f>IF(G10="","",G10-TODAY())</f>
        <v/>
      </c>
      <c r="O10" s="44" t="inlineStr">
        <is>
          <t>Annual membership (USD 99 VERIFY LIVE); renewal date example — replace.</t>
        </is>
      </c>
    </row>
    <row r="11">
      <c r="A11" s="6" t="inlineStr">
        <is>
          <t>OneSignal</t>
        </is>
      </c>
      <c r="B11" s="6" t="inlineStr">
        <is>
          <t>Push notifications</t>
        </is>
      </c>
      <c r="C11" s="29" t="inlineStr">
        <is>
          <t>Developer</t>
        </is>
      </c>
      <c r="D11" s="4" t="inlineStr">
        <is>
          <t>—</t>
        </is>
      </c>
      <c r="E11" s="52" t="n"/>
      <c r="F11" s="29" t="inlineStr">
        <is>
          <t>Usage-based</t>
        </is>
      </c>
      <c r="G11" s="61" t="n"/>
      <c r="H11" s="4" t="inlineStr">
        <is>
          <t>Y</t>
        </is>
      </c>
      <c r="I11" s="29" t="inlineStr">
        <is>
          <t>Company card</t>
        </is>
      </c>
      <c r="J11" s="6" t="n"/>
      <c r="K11" s="4" t="inlineStr">
        <is>
          <t>Partial</t>
        </is>
      </c>
      <c r="L11" s="29" t="inlineStr">
        <is>
          <t>High</t>
        </is>
      </c>
      <c r="M11" s="29" t="inlineStr">
        <is>
          <t>In use</t>
        </is>
      </c>
      <c r="N11" s="62">
        <f>IF(G11="","",G11-TODAY())</f>
        <v/>
      </c>
      <c r="O11" s="44" t="inlineStr">
        <is>
          <t>Watch delivery rate on the scorecard.</t>
        </is>
      </c>
    </row>
    <row r="12">
      <c r="A12" s="6" t="inlineStr">
        <is>
          <t>2Factor.in</t>
        </is>
      </c>
      <c r="B12" s="6" t="inlineStr">
        <is>
          <t>SMS / OTP</t>
        </is>
      </c>
      <c r="C12" s="29" t="inlineStr">
        <is>
          <t>Developer</t>
        </is>
      </c>
      <c r="D12" s="4" t="inlineStr">
        <is>
          <t>—</t>
        </is>
      </c>
      <c r="E12" s="52" t="n"/>
      <c r="F12" s="29" t="inlineStr">
        <is>
          <t>Usage-based</t>
        </is>
      </c>
      <c r="G12" s="61" t="n"/>
      <c r="H12" s="4" t="inlineStr">
        <is>
          <t>N</t>
        </is>
      </c>
      <c r="I12" s="29" t="inlineStr">
        <is>
          <t>Prepaid credits</t>
        </is>
      </c>
      <c r="J12" s="6" t="n"/>
      <c r="K12" s="4" t="inlineStr">
        <is>
          <t>Partial</t>
        </is>
      </c>
      <c r="L12" s="29" t="inlineStr">
        <is>
          <t>Critical</t>
        </is>
      </c>
      <c r="M12" s="29" t="inlineStr">
        <is>
          <t>In use</t>
        </is>
      </c>
      <c r="N12" s="62">
        <f>IF(G12="","",G12-TODAY())</f>
        <v/>
      </c>
      <c r="O12" s="44" t="inlineStr">
        <is>
          <t>Single OTP vendor = risk R6 — keep a fallback route documented; low-balance alert.</t>
        </is>
      </c>
    </row>
    <row r="13">
      <c r="A13" s="6" t="inlineStr">
        <is>
          <t>WhatsApp Business (dealer/customer comms); WhatsApp Business API via Interakt / AiSensy / Wati / Gupshup</t>
        </is>
      </c>
      <c r="B13" s="6" t="inlineStr">
        <is>
          <t>Customer comms &amp; support</t>
        </is>
      </c>
      <c r="C13" s="29" t="inlineStr">
        <is>
          <t>Support/Ops</t>
        </is>
      </c>
      <c r="D13" s="4" t="inlineStr">
        <is>
          <t>1</t>
        </is>
      </c>
      <c r="E13" s="52" t="n"/>
      <c r="F13" s="29" t="inlineStr">
        <is>
          <t>Monthly</t>
        </is>
      </c>
      <c r="G13" s="61" t="n"/>
      <c r="H13" s="4" t="inlineStr">
        <is>
          <t>—</t>
        </is>
      </c>
      <c r="I13" s="29" t="inlineStr">
        <is>
          <t>—</t>
        </is>
      </c>
      <c r="J13" s="6" t="n"/>
      <c r="K13" s="4" t="inlineStr">
        <is>
          <t>Partial</t>
        </is>
      </c>
      <c r="L13" s="29" t="inlineStr">
        <is>
          <t>High</t>
        </is>
      </c>
      <c r="M13" s="29" t="inlineStr">
        <is>
          <t>Evaluating</t>
        </is>
      </c>
      <c r="N13" s="62">
        <f>IF(G13="","",G13-TODAY())</f>
        <v/>
      </c>
      <c r="O13" s="44" t="inlineStr">
        <is>
          <t>API vendor under evaluation — decision record in Decision Log; prices VERIFY LIVE.</t>
        </is>
      </c>
    </row>
    <row r="14">
      <c r="A14" s="6" t="inlineStr">
        <is>
          <t>Easebuzz / Union Bank IPG</t>
        </is>
      </c>
      <c r="B14" s="6" t="inlineStr">
        <is>
          <t>Payments (payment gateway)</t>
        </is>
      </c>
      <c r="C14" s="29" t="inlineStr">
        <is>
          <t>COO</t>
        </is>
      </c>
      <c r="D14" s="4" t="inlineStr">
        <is>
          <t>—</t>
        </is>
      </c>
      <c r="E14" s="52" t="n"/>
      <c r="F14" s="29" t="inlineStr">
        <is>
          <t>Usage-based</t>
        </is>
      </c>
      <c r="G14" s="61" t="n"/>
      <c r="H14" s="4" t="inlineStr">
        <is>
          <t>—</t>
        </is>
      </c>
      <c r="I14" s="29" t="inlineStr">
        <is>
          <t>—</t>
        </is>
      </c>
      <c r="J14" s="6" t="n"/>
      <c r="K14" s="4" t="inlineStr">
        <is>
          <t>Y</t>
        </is>
      </c>
      <c r="L14" s="29" t="inlineStr">
        <is>
          <t>High</t>
        </is>
      </c>
      <c r="M14" s="29" t="inlineStr">
        <is>
          <t>Evaluating</t>
        </is>
      </c>
      <c r="N14" s="62">
        <f>IF(G14="","",G14-TODAY())</f>
        <v/>
      </c>
      <c r="O14" s="44" t="inlineStr">
        <is>
          <t>Proposal stage — not integrated. Mention only as 'in discussion'.</t>
        </is>
      </c>
    </row>
    <row r="15">
      <c r="A15" s="6" t="inlineStr">
        <is>
          <t>Razorpay</t>
        </is>
      </c>
      <c r="B15" s="6" t="inlineStr">
        <is>
          <t>Payments (alternative)</t>
        </is>
      </c>
      <c r="C15" s="29" t="inlineStr">
        <is>
          <t>COO</t>
        </is>
      </c>
      <c r="D15" s="4" t="inlineStr">
        <is>
          <t>—</t>
        </is>
      </c>
      <c r="E15" s="52" t="n"/>
      <c r="F15" s="29" t="inlineStr">
        <is>
          <t>Usage-based</t>
        </is>
      </c>
      <c r="G15" s="61" t="n"/>
      <c r="H15" s="4" t="inlineStr">
        <is>
          <t>—</t>
        </is>
      </c>
      <c r="I15" s="29" t="inlineStr">
        <is>
          <t>—</t>
        </is>
      </c>
      <c r="J15" s="6" t="n"/>
      <c r="K15" s="4" t="inlineStr">
        <is>
          <t>Y</t>
        </is>
      </c>
      <c r="L15" s="29" t="inlineStr">
        <is>
          <t>Medium</t>
        </is>
      </c>
      <c r="M15" s="29" t="inlineStr">
        <is>
          <t>Evaluating</t>
        </is>
      </c>
      <c r="N15" s="62">
        <f>IF(G15="","",G15-TODAY())</f>
        <v/>
      </c>
      <c r="O15" s="44" t="inlineStr">
        <is>
          <t>Evaluated; keep as fallback option.</t>
        </is>
      </c>
    </row>
    <row r="16">
      <c r="A16" s="6" t="inlineStr">
        <is>
          <t>Mixpanel</t>
        </is>
      </c>
      <c r="B16" s="6" t="inlineStr">
        <is>
          <t>Product analytics (custom events)</t>
        </is>
      </c>
      <c r="C16" s="29" t="inlineStr">
        <is>
          <t>CEO/CTO</t>
        </is>
      </c>
      <c r="D16" s="4" t="inlineStr">
        <is>
          <t>2</t>
        </is>
      </c>
      <c r="E16" s="52" t="n"/>
      <c r="F16" s="29" t="inlineStr">
        <is>
          <t>Monthly</t>
        </is>
      </c>
      <c r="G16" s="61" t="n"/>
      <c r="H16" s="4" t="inlineStr">
        <is>
          <t>Y</t>
        </is>
      </c>
      <c r="I16" s="29" t="inlineStr">
        <is>
          <t>Company card</t>
        </is>
      </c>
      <c r="J16" s="6" t="n"/>
      <c r="K16" s="4" t="inlineStr">
        <is>
          <t>Y</t>
        </is>
      </c>
      <c r="L16" s="29" t="inlineStr">
        <is>
          <t>Medium</t>
        </is>
      </c>
      <c r="M16" s="29" t="inlineStr">
        <is>
          <t>In use</t>
        </is>
      </c>
      <c r="N16" s="62">
        <f>IF(G16="","",G16-TODAY())</f>
        <v/>
      </c>
      <c r="O16" s="44" t="inlineStr">
        <is>
          <t>Free tier limits VERIFY LIVE; events plan in the product docs.</t>
        </is>
      </c>
    </row>
    <row r="17">
      <c r="A17" s="6" t="inlineStr">
        <is>
          <t>Firebase Analytics</t>
        </is>
      </c>
      <c r="B17" s="6" t="inlineStr">
        <is>
          <t>Product analytics</t>
        </is>
      </c>
      <c r="C17" s="29" t="inlineStr">
        <is>
          <t>Developer</t>
        </is>
      </c>
      <c r="D17" s="4" t="inlineStr">
        <is>
          <t>—</t>
        </is>
      </c>
      <c r="E17" s="52" t="n"/>
      <c r="F17" s="29" t="inlineStr">
        <is>
          <t>Free</t>
        </is>
      </c>
      <c r="G17" s="61" t="n"/>
      <c r="H17" s="4" t="inlineStr">
        <is>
          <t>N</t>
        </is>
      </c>
      <c r="I17" s="29" t="inlineStr">
        <is>
          <t>—</t>
        </is>
      </c>
      <c r="J17" s="6" t="n"/>
      <c r="K17" s="4" t="inlineStr">
        <is>
          <t>Partial</t>
        </is>
      </c>
      <c r="L17" s="29" t="inlineStr">
        <is>
          <t>Low</t>
        </is>
      </c>
      <c r="M17" s="29" t="inlineStr">
        <is>
          <t>In use</t>
        </is>
      </c>
      <c r="N17" s="62">
        <f>IF(G17="","",G17-TODAY())</f>
        <v/>
      </c>
      <c r="O17" s="44" t="n"/>
    </row>
    <row r="18">
      <c r="A18" s="6" t="inlineStr">
        <is>
          <t>Figma / FigJam</t>
        </is>
      </c>
      <c r="B18" s="6" t="inlineStr">
        <is>
          <t>Design</t>
        </is>
      </c>
      <c r="C18" s="29" t="inlineStr">
        <is>
          <t>CEO/CTO</t>
        </is>
      </c>
      <c r="D18" s="4" t="inlineStr">
        <is>
          <t>1</t>
        </is>
      </c>
      <c r="E18" s="52" t="n"/>
      <c r="F18" s="29" t="inlineStr">
        <is>
          <t>Monthly</t>
        </is>
      </c>
      <c r="G18" s="61" t="n"/>
      <c r="H18" s="4" t="inlineStr">
        <is>
          <t>Y</t>
        </is>
      </c>
      <c r="I18" s="29" t="inlineStr">
        <is>
          <t>Company card</t>
        </is>
      </c>
      <c r="J18" s="6" t="n"/>
      <c r="K18" s="4" t="inlineStr">
        <is>
          <t>Y</t>
        </is>
      </c>
      <c r="L18" s="29" t="inlineStr">
        <is>
          <t>Medium</t>
        </is>
      </c>
      <c r="M18" s="29" t="inlineStr">
        <is>
          <t>In use</t>
        </is>
      </c>
      <c r="N18" s="62">
        <f>IF(G18="","",G18-TODAY())</f>
        <v/>
      </c>
      <c r="O18" s="44" t="inlineStr">
        <is>
          <t>Seat count VERIFY; move files to a company team.</t>
        </is>
      </c>
    </row>
    <row r="19">
      <c r="A19" s="6" t="inlineStr">
        <is>
          <t>Canva</t>
        </is>
      </c>
      <c r="B19" s="6" t="inlineStr">
        <is>
          <t>Marketing design</t>
        </is>
      </c>
      <c r="C19" s="29" t="inlineStr">
        <is>
          <t>Domain director</t>
        </is>
      </c>
      <c r="D19" s="4" t="inlineStr">
        <is>
          <t>1</t>
        </is>
      </c>
      <c r="E19" s="52" t="n"/>
      <c r="F19" s="29" t="inlineStr">
        <is>
          <t>Annual</t>
        </is>
      </c>
      <c r="G19" s="61" t="n"/>
      <c r="H19" s="4" t="inlineStr">
        <is>
          <t>Y</t>
        </is>
      </c>
      <c r="I19" s="29" t="inlineStr">
        <is>
          <t>Company card</t>
        </is>
      </c>
      <c r="J19" s="6" t="n"/>
      <c r="K19" s="4" t="inlineStr">
        <is>
          <t>Y</t>
        </is>
      </c>
      <c r="L19" s="29" t="inlineStr">
        <is>
          <t>Low</t>
        </is>
      </c>
      <c r="M19" s="29" t="inlineStr">
        <is>
          <t>In use</t>
        </is>
      </c>
      <c r="N19" s="62">
        <f>IF(G19="","",G19-TODAY())</f>
        <v/>
      </c>
      <c r="O19" s="44" t="n"/>
    </row>
    <row r="20">
      <c r="A20" s="6" t="inlineStr">
        <is>
          <t>Obsidian vault + Quartz (GitHub Pages)</t>
        </is>
      </c>
      <c r="B20" s="6" t="inlineStr">
        <is>
          <t>Documentation &amp; SOP source of truth</t>
        </is>
      </c>
      <c r="C20" s="29" t="inlineStr">
        <is>
          <t>COO</t>
        </is>
      </c>
      <c r="D20" s="4" t="inlineStr">
        <is>
          <t>3</t>
        </is>
      </c>
      <c r="E20" s="52" t="n"/>
      <c r="F20" s="29" t="inlineStr">
        <is>
          <t>Free</t>
        </is>
      </c>
      <c r="G20" s="61" t="n"/>
      <c r="H20" s="4" t="inlineStr">
        <is>
          <t>N</t>
        </is>
      </c>
      <c r="I20" s="29" t="inlineStr">
        <is>
          <t>—</t>
        </is>
      </c>
      <c r="J20" s="6" t="n"/>
      <c r="K20" s="4" t="inlineStr">
        <is>
          <t>Y</t>
        </is>
      </c>
      <c r="L20" s="29" t="inlineStr">
        <is>
          <t>High</t>
        </is>
      </c>
      <c r="M20" s="29" t="inlineStr">
        <is>
          <t>In use</t>
        </is>
      </c>
      <c r="N20" s="62">
        <f>IF(G20="","",G20-TODAY())</f>
        <v/>
      </c>
      <c r="O20" s="44" t="inlineStr">
        <is>
          <t>Vault is Git-backed; published site is public — no secrets in the vault.</t>
        </is>
      </c>
    </row>
    <row r="21">
      <c r="A21" s="6" t="inlineStr">
        <is>
          <t>ERPNext (Frappe Cloud or self-hosted Docker) + Frappe HR / Helpdesk add-ons</t>
        </is>
      </c>
      <c r="B21" s="6" t="inlineStr">
        <is>
          <t>Accounting, CRM, invoicing, HR, support tickets</t>
        </is>
      </c>
      <c r="C21" s="29" t="inlineStr">
        <is>
          <t>COO</t>
        </is>
      </c>
      <c r="D21" s="4" t="inlineStr">
        <is>
          <t>3</t>
        </is>
      </c>
      <c r="E21" s="52" t="n"/>
      <c r="F21" s="29" t="inlineStr">
        <is>
          <t>Monthly</t>
        </is>
      </c>
      <c r="G21" s="61" t="n"/>
      <c r="H21" s="4" t="inlineStr">
        <is>
          <t>—</t>
        </is>
      </c>
      <c r="I21" s="29" t="inlineStr">
        <is>
          <t>—</t>
        </is>
      </c>
      <c r="J21" s="6" t="n"/>
      <c r="K21" s="4" t="inlineStr">
        <is>
          <t>Y</t>
        </is>
      </c>
      <c r="L21" s="29" t="inlineStr">
        <is>
          <t>High</t>
        </is>
      </c>
      <c r="M21" s="29" t="inlineStr">
        <is>
          <t>Evaluating</t>
        </is>
      </c>
      <c r="N21" s="62">
        <f>IF(G21="","",G21-TODAY())</f>
        <v/>
      </c>
      <c r="O21" s="44" t="inlineStr">
        <is>
          <t>Standardising per ERPNext Implementation Guide; hosting choice pending (Decision Log). Prices VERIFY LIVE.</t>
        </is>
      </c>
    </row>
    <row r="22">
      <c r="A22" s="6" t="inlineStr">
        <is>
          <t>Tally (at the petrol pump / with the CA)</t>
        </is>
      </c>
      <c r="B22" s="6" t="inlineStr">
        <is>
          <t>Statutory books (CA side)</t>
        </is>
      </c>
      <c r="C22" s="29" t="inlineStr">
        <is>
          <t>CA/CS (external)</t>
        </is>
      </c>
      <c r="D22" s="4" t="inlineStr">
        <is>
          <t>—</t>
        </is>
      </c>
      <c r="E22" s="52" t="n"/>
      <c r="F22" s="29" t="inlineStr">
        <is>
          <t>Annual</t>
        </is>
      </c>
      <c r="G22" s="61" t="n"/>
      <c r="H22" s="4" t="inlineStr">
        <is>
          <t>—</t>
        </is>
      </c>
      <c r="I22" s="29" t="inlineStr">
        <is>
          <t>CA's licence</t>
        </is>
      </c>
      <c r="J22" s="6" t="n"/>
      <c r="K22" s="4" t="inlineStr">
        <is>
          <t>Partial</t>
        </is>
      </c>
      <c r="L22" s="29" t="inlineStr">
        <is>
          <t>Medium</t>
        </is>
      </c>
      <c r="M22" s="29" t="inlineStr">
        <is>
          <t>In use</t>
        </is>
      </c>
      <c r="N22" s="62">
        <f>IF(G22="","",G22-TODAY())</f>
        <v/>
      </c>
      <c r="O22" s="44" t="inlineStr">
        <is>
          <t>Books of record until ERPNext is live; monthly close inputs (lesson 06).</t>
        </is>
      </c>
    </row>
    <row r="23">
      <c r="A23" s="6" t="inlineStr">
        <is>
          <t>Claude Code / Cursor / ChatGPT / Gemini</t>
        </is>
      </c>
      <c r="B23" s="6" t="inlineStr">
        <is>
          <t>AI-assisted engineering &amp; ops</t>
        </is>
      </c>
      <c r="C23" s="29" t="inlineStr">
        <is>
          <t>CEO/CTO</t>
        </is>
      </c>
      <c r="D23" s="4" t="inlineStr">
        <is>
          <t>2</t>
        </is>
      </c>
      <c r="E23" s="52" t="n"/>
      <c r="F23" s="29" t="inlineStr">
        <is>
          <t>Monthly</t>
        </is>
      </c>
      <c r="G23" s="61" t="n"/>
      <c r="H23" s="4" t="inlineStr">
        <is>
          <t>Y</t>
        </is>
      </c>
      <c r="I23" s="29" t="inlineStr">
        <is>
          <t>Company card</t>
        </is>
      </c>
      <c r="J23" s="6" t="n"/>
      <c r="K23" s="4" t="inlineStr">
        <is>
          <t>Y</t>
        </is>
      </c>
      <c r="L23" s="29" t="inlineStr">
        <is>
          <t>Medium</t>
        </is>
      </c>
      <c r="M23" s="29" t="inlineStr">
        <is>
          <t>In use</t>
        </is>
      </c>
      <c r="N23" s="62">
        <f>IF(G23="","",G23-TODAY())</f>
        <v/>
      </c>
      <c r="O23" s="44" t="inlineStr">
        <is>
          <t>AI data policy: no customer PII into consumer tools (lesson 07/18).</t>
        </is>
      </c>
    </row>
    <row r="24">
      <c r="A24" s="6" t="inlineStr">
        <is>
          <t>Zoom / Google Meet</t>
        </is>
      </c>
      <c r="B24" s="6" t="inlineStr">
        <is>
          <t>Meetings</t>
        </is>
      </c>
      <c r="C24" s="29" t="inlineStr">
        <is>
          <t>COO</t>
        </is>
      </c>
      <c r="D24" s="4" t="inlineStr">
        <is>
          <t>3</t>
        </is>
      </c>
      <c r="E24" s="52" t="n"/>
      <c r="F24" s="29" t="inlineStr">
        <is>
          <t>Free</t>
        </is>
      </c>
      <c r="G24" s="61" t="n"/>
      <c r="H24" s="4" t="inlineStr">
        <is>
          <t>N</t>
        </is>
      </c>
      <c r="I24" s="29" t="inlineStr">
        <is>
          <t>—</t>
        </is>
      </c>
      <c r="J24" s="6" t="n"/>
      <c r="K24" s="4" t="inlineStr">
        <is>
          <t>—</t>
        </is>
      </c>
      <c r="L24" s="29" t="inlineStr">
        <is>
          <t>Low</t>
        </is>
      </c>
      <c r="M24" s="29" t="inlineStr">
        <is>
          <t>In use</t>
        </is>
      </c>
      <c r="N24" s="62">
        <f>IF(G24="","",G24-TODAY())</f>
        <v/>
      </c>
      <c r="O24" s="44" t="n"/>
    </row>
    <row r="25">
      <c r="A25" s="6" t="inlineStr">
        <is>
          <t>Google Workspace (Gmail, Drive, Calendar, Chat) on the company domain</t>
        </is>
      </c>
      <c r="B25" s="6" t="inlineStr">
        <is>
          <t>Identity root, email, files, calendar</t>
        </is>
      </c>
      <c r="C25" s="29" t="inlineStr">
        <is>
          <t>COO</t>
        </is>
      </c>
      <c r="D25" s="4" t="inlineStr">
        <is>
          <t>3</t>
        </is>
      </c>
      <c r="E25" s="52" t="n"/>
      <c r="F25" s="29" t="inlineStr">
        <is>
          <t>Monthly</t>
        </is>
      </c>
      <c r="G25" s="61" t="n"/>
      <c r="H25" s="4" t="inlineStr">
        <is>
          <t>Y</t>
        </is>
      </c>
      <c r="I25" s="29" t="inlineStr">
        <is>
          <t>Company card</t>
        </is>
      </c>
      <c r="J25" s="6" t="n"/>
      <c r="K25" s="4" t="inlineStr">
        <is>
          <t>Y</t>
        </is>
      </c>
      <c r="L25" s="29" t="inlineStr">
        <is>
          <t>Critical</t>
        </is>
      </c>
      <c r="M25" s="29" t="inlineStr">
        <is>
          <t>Recommended</t>
        </is>
      </c>
      <c r="N25" s="62">
        <f>IF(G25="","",G25-TODAY())</f>
        <v/>
      </c>
      <c r="O25" s="44" t="inlineStr">
        <is>
          <t>Business Starter as identity root + 2FA everywhere; group aliases support@/billing@/ops@. Price VERIFY LIVE.</t>
        </is>
      </c>
    </row>
    <row r="26">
      <c r="A26" s="6" t="inlineStr">
        <is>
          <t>Bitwarden (Teams) — shared vaults</t>
        </is>
      </c>
      <c r="B26" s="6" t="inlineStr">
        <is>
          <t>Password manager</t>
        </is>
      </c>
      <c r="C26" s="29" t="inlineStr">
        <is>
          <t>COO</t>
        </is>
      </c>
      <c r="D26" s="4" t="inlineStr">
        <is>
          <t>3</t>
        </is>
      </c>
      <c r="E26" s="52" t="n"/>
      <c r="F26" s="29" t="inlineStr">
        <is>
          <t>Annual</t>
        </is>
      </c>
      <c r="G26" s="61" t="n"/>
      <c r="H26" s="4" t="inlineStr">
        <is>
          <t>Y</t>
        </is>
      </c>
      <c r="I26" s="29" t="inlineStr">
        <is>
          <t>Company card</t>
        </is>
      </c>
      <c r="J26" s="6" t="n"/>
      <c r="K26" s="4" t="inlineStr">
        <is>
          <t>Y</t>
        </is>
      </c>
      <c r="L26" s="29" t="inlineStr">
        <is>
          <t>Critical</t>
        </is>
      </c>
      <c r="M26" s="29" t="inlineStr">
        <is>
          <t>Recommended</t>
        </is>
      </c>
      <c r="N26" s="62">
        <f>IF(G26="","",G26-TODAY())</f>
        <v/>
      </c>
      <c r="O26" s="44" t="inlineStr">
        <is>
          <t>Break-glass account + emergency access; offboarding revokes vault access.</t>
        </is>
      </c>
    </row>
    <row r="27">
      <c r="A27" s="6" t="inlineStr">
        <is>
          <t>Google Chat (bundled) or Slack Free</t>
        </is>
      </c>
      <c r="B27" s="6" t="inlineStr">
        <is>
          <t>Internal chat</t>
        </is>
      </c>
      <c r="C27" s="29" t="inlineStr">
        <is>
          <t>COO</t>
        </is>
      </c>
      <c r="D27" s="4" t="inlineStr">
        <is>
          <t>3</t>
        </is>
      </c>
      <c r="E27" s="52" t="n"/>
      <c r="F27" s="29" t="inlineStr">
        <is>
          <t>Free</t>
        </is>
      </c>
      <c r="G27" s="61" t="n"/>
      <c r="H27" s="4" t="inlineStr">
        <is>
          <t>N</t>
        </is>
      </c>
      <c r="I27" s="29" t="inlineStr">
        <is>
          <t>—</t>
        </is>
      </c>
      <c r="J27" s="6" t="n"/>
      <c r="K27" s="4" t="inlineStr">
        <is>
          <t>Partial</t>
        </is>
      </c>
      <c r="L27" s="29" t="inlineStr">
        <is>
          <t>Medium</t>
        </is>
      </c>
      <c r="M27" s="29" t="inlineStr">
        <is>
          <t>Recommended</t>
        </is>
      </c>
      <c r="N27" s="62">
        <f>IF(G27="","",G27-TODAY())</f>
        <v/>
      </c>
      <c r="O27" s="44" t="inlineStr">
        <is>
          <t>WhatsApp stays external-facing.</t>
        </is>
      </c>
    </row>
    <row r="28">
      <c r="A28" s="6" t="inlineStr">
        <is>
          <t>UptimeRobot / Better Stack (free tiers) + Sentry</t>
        </is>
      </c>
      <c r="B28" s="6" t="inlineStr">
        <is>
          <t>Monitoring &amp; alerting</t>
        </is>
      </c>
      <c r="C28" s="29" t="inlineStr">
        <is>
          <t>CEO/CTO</t>
        </is>
      </c>
      <c r="D28" s="4" t="inlineStr">
        <is>
          <t>—</t>
        </is>
      </c>
      <c r="E28" s="52" t="n"/>
      <c r="F28" s="29" t="inlineStr">
        <is>
          <t>Free</t>
        </is>
      </c>
      <c r="G28" s="61" t="n"/>
      <c r="H28" s="4" t="inlineStr">
        <is>
          <t>N</t>
        </is>
      </c>
      <c r="I28" s="29" t="inlineStr">
        <is>
          <t>—</t>
        </is>
      </c>
      <c r="J28" s="6" t="n"/>
      <c r="K28" s="4" t="inlineStr">
        <is>
          <t>Y</t>
        </is>
      </c>
      <c r="L28" s="29" t="inlineStr">
        <is>
          <t>High</t>
        </is>
      </c>
      <c r="M28" s="29" t="inlineStr">
        <is>
          <t>Recommended</t>
        </is>
      </c>
      <c r="N28" s="62">
        <f>IF(G28="","",G28-TODAY())</f>
        <v/>
      </c>
      <c r="O28" s="44" t="inlineStr">
        <is>
          <t>Uptime %, error rates, OTP/push delivery, cron jobs (lesson 12).</t>
        </is>
      </c>
    </row>
    <row r="29">
      <c r="A29" s="6" t="inlineStr">
        <is>
          <t>Zoho Sign / Leegality / DocuSign</t>
        </is>
      </c>
      <c r="B29" s="6" t="inlineStr">
        <is>
          <t>E-signatures</t>
        </is>
      </c>
      <c r="C29" s="29" t="inlineStr">
        <is>
          <t>COO</t>
        </is>
      </c>
      <c r="D29" s="4" t="inlineStr">
        <is>
          <t>1</t>
        </is>
      </c>
      <c r="E29" s="52" t="n"/>
      <c r="F29" s="29" t="inlineStr">
        <is>
          <t>Annual</t>
        </is>
      </c>
      <c r="G29" s="61" t="n"/>
      <c r="H29" s="4" t="inlineStr">
        <is>
          <t>Y</t>
        </is>
      </c>
      <c r="I29" s="29" t="inlineStr">
        <is>
          <t>Company card</t>
        </is>
      </c>
      <c r="J29" s="6" t="n"/>
      <c r="K29" s="4" t="inlineStr">
        <is>
          <t>Y</t>
        </is>
      </c>
      <c r="L29" s="29" t="inlineStr">
        <is>
          <t>Medium</t>
        </is>
      </c>
      <c r="M29" s="29" t="inlineStr">
        <is>
          <t>Recommended</t>
        </is>
      </c>
      <c r="N29" s="62">
        <f>IF(G29="","",G29-TODAY())</f>
        <v/>
      </c>
      <c r="O29" s="44" t="inlineStr">
        <is>
          <t>Aadhaar eSign validity under IT Act — VERIFY LIVE.</t>
        </is>
      </c>
    </row>
    <row r="30">
      <c r="A30" s="6" t="inlineStr">
        <is>
          <t>RazorpayX Payroll / Keka / greytHR (or Frappe HR payroll)</t>
        </is>
      </c>
      <c r="B30" s="6" t="inlineStr">
        <is>
          <t>Payroll &amp; statutory (PF/ESI/PT/TDS)</t>
        </is>
      </c>
      <c r="C30" s="29" t="inlineStr">
        <is>
          <t>COO</t>
        </is>
      </c>
      <c r="D30" s="4" t="inlineStr">
        <is>
          <t>—</t>
        </is>
      </c>
      <c r="E30" s="52" t="n"/>
      <c r="F30" s="29" t="inlineStr">
        <is>
          <t>Monthly</t>
        </is>
      </c>
      <c r="G30" s="61" t="n"/>
      <c r="H30" s="4" t="inlineStr">
        <is>
          <t>Y</t>
        </is>
      </c>
      <c r="I30" s="29" t="inlineStr">
        <is>
          <t>Bank mandate</t>
        </is>
      </c>
      <c r="J30" s="6" t="n"/>
      <c r="K30" s="4" t="inlineStr">
        <is>
          <t>Y</t>
        </is>
      </c>
      <c r="L30" s="29" t="inlineStr">
        <is>
          <t>High</t>
        </is>
      </c>
      <c r="M30" s="29" t="inlineStr">
        <is>
          <t>Recommended</t>
        </is>
      </c>
      <c r="N30" s="62">
        <f>IF(G30="","",G30-TODAY())</f>
        <v/>
      </c>
      <c r="O30" s="44" t="inlineStr">
        <is>
          <t>Choose when first employee joins; CA to review setup.</t>
        </is>
      </c>
    </row>
    <row r="31">
      <c r="A31" s="6" t="inlineStr">
        <is>
          <t>n8n / Google Apps Script / cron + Claude Code skills</t>
        </is>
      </c>
      <c r="B31" s="6" t="inlineStr">
        <is>
          <t>Automation</t>
        </is>
      </c>
      <c r="C31" s="29" t="inlineStr">
        <is>
          <t>COO</t>
        </is>
      </c>
      <c r="D31" s="4" t="inlineStr">
        <is>
          <t>—</t>
        </is>
      </c>
      <c r="E31" s="52" t="n"/>
      <c r="F31" s="29" t="inlineStr">
        <is>
          <t>Free</t>
        </is>
      </c>
      <c r="G31" s="61" t="n"/>
      <c r="H31" s="4" t="inlineStr">
        <is>
          <t>N</t>
        </is>
      </c>
      <c r="I31" s="29" t="inlineStr">
        <is>
          <t>—</t>
        </is>
      </c>
      <c r="J31" s="6" t="n"/>
      <c r="K31" s="4" t="inlineStr">
        <is>
          <t>Y</t>
        </is>
      </c>
      <c r="L31" s="29" t="inlineStr">
        <is>
          <t>Medium</t>
        </is>
      </c>
      <c r="M31" s="29" t="inlineStr">
        <is>
          <t>Recommended</t>
        </is>
      </c>
      <c r="N31" s="62">
        <f>IF(G31="","",G31-TODAY())</f>
        <v/>
      </c>
      <c r="O31" s="44" t="inlineStr">
        <is>
          <t>See Automation Backlog.</t>
        </is>
      </c>
    </row>
    <row r="32">
      <c r="A32" s="6" t="inlineStr">
        <is>
          <t>Metabase (open source)</t>
        </is>
      </c>
      <c r="B32" s="6" t="inlineStr">
        <is>
          <t>Dashboards (later)</t>
        </is>
      </c>
      <c r="C32" s="29" t="inlineStr">
        <is>
          <t>CEO/CTO</t>
        </is>
      </c>
      <c r="D32" s="4" t="inlineStr">
        <is>
          <t>—</t>
        </is>
      </c>
      <c r="E32" s="52" t="n"/>
      <c r="F32" s="29" t="inlineStr">
        <is>
          <t>Free</t>
        </is>
      </c>
      <c r="G32" s="61" t="n"/>
      <c r="H32" s="4" t="inlineStr">
        <is>
          <t>N</t>
        </is>
      </c>
      <c r="I32" s="29" t="inlineStr">
        <is>
          <t>—</t>
        </is>
      </c>
      <c r="J32" s="6" t="n"/>
      <c r="K32" s="4" t="inlineStr">
        <is>
          <t>Y</t>
        </is>
      </c>
      <c r="L32" s="29" t="inlineStr">
        <is>
          <t>Low</t>
        </is>
      </c>
      <c r="M32" s="29" t="inlineStr">
        <is>
          <t>Recommended</t>
        </is>
      </c>
      <c r="N32" s="62">
        <f>IF(G32="","",G32-TODAY())</f>
        <v/>
      </c>
      <c r="O32" s="44" t="inlineStr">
        <is>
          <t>After scorecard v1 is stable (lesson 16).</t>
        </is>
      </c>
    </row>
    <row r="33">
      <c r="A33" s="6" t="inlineStr">
        <is>
          <t>Group health (Plum / Onsurity / Loop) + D&amp;O / E&amp;O / cyber via broker</t>
        </is>
      </c>
      <c r="B33" s="6" t="inlineStr">
        <is>
          <t>Insurance</t>
        </is>
      </c>
      <c r="C33" s="29" t="inlineStr">
        <is>
          <t>COO</t>
        </is>
      </c>
      <c r="D33" s="4" t="inlineStr">
        <is>
          <t>—</t>
        </is>
      </c>
      <c r="E33" s="52" t="n"/>
      <c r="F33" s="29" t="inlineStr">
        <is>
          <t>Annual</t>
        </is>
      </c>
      <c r="G33" s="61" t="n"/>
      <c r="H33" s="4" t="inlineStr">
        <is>
          <t>N</t>
        </is>
      </c>
      <c r="I33" s="29" t="inlineStr">
        <is>
          <t>Bank transfer</t>
        </is>
      </c>
      <c r="J33" s="6" t="n"/>
      <c r="K33" s="4" t="inlineStr">
        <is>
          <t>—</t>
        </is>
      </c>
      <c r="L33" s="29" t="inlineStr">
        <is>
          <t>High</t>
        </is>
      </c>
      <c r="M33" s="29" t="inlineStr">
        <is>
          <t>Recommended</t>
        </is>
      </c>
      <c r="N33" s="62">
        <f>IF(G33="","",G33-TODAY())</f>
        <v/>
      </c>
      <c r="O33" s="44" t="inlineStr">
        <is>
          <t>Indicative costs VERIFY LIVE (lesson 13).</t>
        </is>
      </c>
    </row>
    <row r="34">
      <c r="A34" s="6" t="inlineStr">
        <is>
          <t>Domain registrar + DNS (company &amp; DZZLO domains)</t>
        </is>
      </c>
      <c r="B34" s="6" t="inlineStr">
        <is>
          <t>Domain / DNS / SSL</t>
        </is>
      </c>
      <c r="C34" s="29" t="inlineStr">
        <is>
          <t>CEO/CTO</t>
        </is>
      </c>
      <c r="D34" s="4" t="inlineStr">
        <is>
          <t>—</t>
        </is>
      </c>
      <c r="E34" s="52" t="n"/>
      <c r="F34" s="29" t="inlineStr">
        <is>
          <t>Annual</t>
        </is>
      </c>
      <c r="G34" s="31" t="n">
        <v>46446</v>
      </c>
      <c r="H34" s="4" t="inlineStr">
        <is>
          <t>Y</t>
        </is>
      </c>
      <c r="I34" s="29" t="inlineStr">
        <is>
          <t>Company card</t>
        </is>
      </c>
      <c r="J34" s="6" t="n"/>
      <c r="K34" s="4" t="inlineStr">
        <is>
          <t>Y</t>
        </is>
      </c>
      <c r="L34" s="29" t="inlineStr">
        <is>
          <t>Critical</t>
        </is>
      </c>
      <c r="M34" s="29" t="inlineStr">
        <is>
          <t>In use</t>
        </is>
      </c>
      <c r="N34" s="62">
        <f>IF(G34="","",G34-TODAY())</f>
        <v/>
      </c>
      <c r="O34" s="44" t="inlineStr">
        <is>
          <t>Renewal date example — replace; auto-renew on the company card.</t>
        </is>
      </c>
    </row>
    <row r="35">
      <c r="A35" s="6" t="n"/>
      <c r="B35" s="6" t="n"/>
      <c r="C35" s="19" t="n"/>
      <c r="D35" s="19" t="n"/>
      <c r="E35" s="64" t="n"/>
      <c r="F35" s="19" t="n"/>
      <c r="G35" s="63" t="n"/>
      <c r="H35" s="19" t="n"/>
      <c r="I35" s="19" t="n"/>
      <c r="J35" s="6" t="n"/>
      <c r="K35" s="19" t="n"/>
      <c r="L35" s="19" t="n"/>
      <c r="M35" s="19" t="n"/>
      <c r="N35" s="62">
        <f>IF(G35="","",G35-TODAY())</f>
        <v/>
      </c>
      <c r="O35" s="6" t="n"/>
    </row>
    <row r="36">
      <c r="A36" s="6" t="n"/>
      <c r="B36" s="6" t="n"/>
      <c r="C36" s="19" t="n"/>
      <c r="D36" s="19" t="n"/>
      <c r="E36" s="64" t="n"/>
      <c r="F36" s="19" t="n"/>
      <c r="G36" s="63" t="n"/>
      <c r="H36" s="19" t="n"/>
      <c r="I36" s="19" t="n"/>
      <c r="J36" s="6" t="n"/>
      <c r="K36" s="19" t="n"/>
      <c r="L36" s="19" t="n"/>
      <c r="M36" s="19" t="n"/>
      <c r="N36" s="62">
        <f>IF(G36="","",G36-TODAY())</f>
        <v/>
      </c>
      <c r="O36" s="6" t="n"/>
    </row>
    <row r="37">
      <c r="A37" s="6" t="n"/>
      <c r="B37" s="6" t="n"/>
      <c r="C37" s="19" t="n"/>
      <c r="D37" s="19" t="n"/>
      <c r="E37" s="64" t="n"/>
      <c r="F37" s="19" t="n"/>
      <c r="G37" s="63" t="n"/>
      <c r="H37" s="19" t="n"/>
      <c r="I37" s="19" t="n"/>
      <c r="J37" s="6" t="n"/>
      <c r="K37" s="19" t="n"/>
      <c r="L37" s="19" t="n"/>
      <c r="M37" s="19" t="n"/>
      <c r="N37" s="62">
        <f>IF(G37="","",G37-TODAY())</f>
        <v/>
      </c>
      <c r="O37" s="6" t="n"/>
    </row>
    <row r="38">
      <c r="A38" s="6" t="n"/>
      <c r="B38" s="6" t="n"/>
      <c r="C38" s="19" t="n"/>
      <c r="D38" s="19" t="n"/>
      <c r="E38" s="64" t="n"/>
      <c r="F38" s="19" t="n"/>
      <c r="G38" s="63" t="n"/>
      <c r="H38" s="19" t="n"/>
      <c r="I38" s="19" t="n"/>
      <c r="J38" s="6" t="n"/>
      <c r="K38" s="19" t="n"/>
      <c r="L38" s="19" t="n"/>
      <c r="M38" s="19" t="n"/>
      <c r="N38" s="62">
        <f>IF(G38="","",G38-TODAY())</f>
        <v/>
      </c>
      <c r="O38" s="6" t="n"/>
    </row>
    <row r="39">
      <c r="A39" s="6" t="n"/>
      <c r="B39" s="6" t="n"/>
      <c r="C39" s="19" t="n"/>
      <c r="D39" s="19" t="n"/>
      <c r="E39" s="64" t="n"/>
      <c r="F39" s="19" t="n"/>
      <c r="G39" s="63" t="n"/>
      <c r="H39" s="19" t="n"/>
      <c r="I39" s="19" t="n"/>
      <c r="J39" s="6" t="n"/>
      <c r="K39" s="19" t="n"/>
      <c r="L39" s="19" t="n"/>
      <c r="M39" s="19" t="n"/>
      <c r="N39" s="62">
        <f>IF(G39="","",G39-TODAY())</f>
        <v/>
      </c>
      <c r="O39" s="6" t="n"/>
    </row>
    <row r="40">
      <c r="A40" s="6" t="n"/>
      <c r="B40" s="6" t="n"/>
      <c r="C40" s="19" t="n"/>
      <c r="D40" s="19" t="n"/>
      <c r="E40" s="64" t="n"/>
      <c r="F40" s="19" t="n"/>
      <c r="G40" s="63" t="n"/>
      <c r="H40" s="19" t="n"/>
      <c r="I40" s="19" t="n"/>
      <c r="J40" s="6" t="n"/>
      <c r="K40" s="19" t="n"/>
      <c r="L40" s="19" t="n"/>
      <c r="M40" s="19" t="n"/>
      <c r="N40" s="62">
        <f>IF(G40="","",G40-TODAY())</f>
        <v/>
      </c>
      <c r="O40" s="6" t="n"/>
    </row>
    <row r="41">
      <c r="A41" s="6" t="n"/>
      <c r="B41" s="6" t="n"/>
      <c r="C41" s="19" t="n"/>
      <c r="D41" s="19" t="n"/>
      <c r="E41" s="64" t="n"/>
      <c r="F41" s="19" t="n"/>
      <c r="G41" s="63" t="n"/>
      <c r="H41" s="19" t="n"/>
      <c r="I41" s="19" t="n"/>
      <c r="J41" s="6" t="n"/>
      <c r="K41" s="19" t="n"/>
      <c r="L41" s="19" t="n"/>
      <c r="M41" s="19" t="n"/>
      <c r="N41" s="62">
        <f>IF(G41="","",G41-TODAY())</f>
        <v/>
      </c>
      <c r="O41" s="6" t="n"/>
    </row>
    <row r="42">
      <c r="A42" s="6" t="n"/>
      <c r="B42" s="6" t="n"/>
      <c r="C42" s="19" t="n"/>
      <c r="D42" s="19" t="n"/>
      <c r="E42" s="64" t="n"/>
      <c r="F42" s="19" t="n"/>
      <c r="G42" s="63" t="n"/>
      <c r="H42" s="19" t="n"/>
      <c r="I42" s="19" t="n"/>
      <c r="J42" s="6" t="n"/>
      <c r="K42" s="19" t="n"/>
      <c r="L42" s="19" t="n"/>
      <c r="M42" s="19" t="n"/>
      <c r="N42" s="62">
        <f>IF(G42="","",G42-TODAY())</f>
        <v/>
      </c>
      <c r="O42" s="6" t="n"/>
    </row>
    <row r="43">
      <c r="A43" s="6" t="n"/>
      <c r="B43" s="6" t="n"/>
      <c r="C43" s="19" t="n"/>
      <c r="D43" s="19" t="n"/>
      <c r="E43" s="64" t="n"/>
      <c r="F43" s="19" t="n"/>
      <c r="G43" s="63" t="n"/>
      <c r="H43" s="19" t="n"/>
      <c r="I43" s="19" t="n"/>
      <c r="J43" s="6" t="n"/>
      <c r="K43" s="19" t="n"/>
      <c r="L43" s="19" t="n"/>
      <c r="M43" s="19" t="n"/>
      <c r="N43" s="62">
        <f>IF(G43="","",G43-TODAY())</f>
        <v/>
      </c>
      <c r="O43" s="6" t="n"/>
    </row>
    <row r="44">
      <c r="A44" s="6" t="n"/>
      <c r="B44" s="6" t="n"/>
      <c r="C44" s="19" t="n"/>
      <c r="D44" s="19" t="n"/>
      <c r="E44" s="64" t="n"/>
      <c r="F44" s="19" t="n"/>
      <c r="G44" s="63" t="n"/>
      <c r="H44" s="19" t="n"/>
      <c r="I44" s="19" t="n"/>
      <c r="J44" s="6" t="n"/>
      <c r="K44" s="19" t="n"/>
      <c r="L44" s="19" t="n"/>
      <c r="M44" s="19" t="n"/>
      <c r="N44" s="62">
        <f>IF(G44="","",G44-TODAY())</f>
        <v/>
      </c>
      <c r="O44" s="6" t="n"/>
    </row>
    <row r="45">
      <c r="A45" s="38" t="inlineStr">
        <is>
          <t>Total monthly cost (₹) — all rows</t>
        </is>
      </c>
      <c r="B45" s="24" t="n"/>
      <c r="C45" s="24" t="n"/>
      <c r="D45" s="24" t="n"/>
      <c r="E45" s="23">
        <f>SUM(E5:E44)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</row>
    <row r="46">
      <c r="A46" s="38" t="inlineStr">
        <is>
          <t>Annualised (₹)</t>
        </is>
      </c>
      <c r="B46" s="24" t="n"/>
      <c r="C46" s="24" t="n"/>
      <c r="D46" s="24" t="n"/>
      <c r="E46" s="23">
        <f>E45*12</f>
        <v/>
      </c>
    </row>
    <row r="47">
      <c r="A47" s="38" t="inlineStr">
        <is>
          <t>Tools in use (count)</t>
        </is>
      </c>
      <c r="B47" s="24" t="n"/>
      <c r="C47" s="24" t="n"/>
      <c r="D47" s="24" t="n"/>
      <c r="E47" s="47">
        <f>COUNTIF(M5:M44,"In use")</f>
        <v/>
      </c>
    </row>
    <row r="48">
      <c r="A48" s="38" t="inlineStr">
        <is>
          <t>Critical vendors (count)</t>
        </is>
      </c>
      <c r="B48" s="24" t="n"/>
      <c r="C48" s="24" t="n"/>
      <c r="D48" s="24" t="n"/>
      <c r="E48" s="47">
        <f>COUNTIF(L5:L44,"Critical")</f>
        <v/>
      </c>
    </row>
  </sheetData>
  <autoFilter ref="A4:O44"/>
  <mergeCells count="2">
    <mergeCell ref="A1:I1"/>
    <mergeCell ref="A2:I2"/>
  </mergeCells>
  <conditionalFormatting sqref="N5:N44">
    <cfRule type="expression" priority="1" dxfId="0">
      <formula>IF(N5="",FALSE,N5&lt;0)</formula>
    </cfRule>
    <cfRule type="expression" priority="2" dxfId="2">
      <formula>IF(N5="",FALSE,IF(N5&lt;0,FALSE,N5&lt;=60))</formula>
    </cfRule>
  </conditionalFormatting>
  <conditionalFormatting sqref="L5:L44">
    <cfRule type="cellIs" priority="3" operator="equal" dxfId="0">
      <formula>"Critical"</formula>
    </cfRule>
    <cfRule type="cellIs" priority="4" operator="equal" dxfId="2">
      <formula>"High"</formula>
    </cfRule>
  </conditionalFormatting>
  <dataValidations count="6">
    <dataValidation sqref="C5:C44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F5:F44" showDropDown="0" showInputMessage="0" showErrorMessage="1" allowBlank="1" errorTitle="Pick from list" error="Please pick a value from the dropdown." type="list">
      <formula1>"Monthly,Annual,Usage-based,One-time,Free"</formula1>
    </dataValidation>
    <dataValidation sqref="H5:H44" showDropDown="0" showInputMessage="0" showErrorMessage="1" allowBlank="1" errorTitle="Pick from list" error="Please pick a value from the dropdown." type="list">
      <formula1>"Y,N,Partial,—"</formula1>
    </dataValidation>
    <dataValidation sqref="K5:K44" showDropDown="0" showInputMessage="0" showErrorMessage="1" allowBlank="1" errorTitle="Pick from list" error="Please pick a value from the dropdown." type="list">
      <formula1>"Y,N,Partial,—"</formula1>
    </dataValidation>
    <dataValidation sqref="L5:L44" showDropDown="0" showInputMessage="0" showErrorMessage="1" allowBlank="1" errorTitle="Pick from list" error="Please pick a value from the dropdown." type="list">
      <formula1>"Critical,High,Medium,Low"</formula1>
    </dataValidation>
    <dataValidation sqref="M5:M44" showDropDown="0" showInputMessage="0" showErrorMessage="1" allowBlank="1" errorTitle="Pick from list" error="Please pick a value from the dropdown." type="list">
      <formula1>"In use,Evaluating,Recommended,Retired"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/>
  </sheetPr>
  <dimension ref="A1:O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13" customWidth="1" min="3" max="3"/>
    <col width="10" customWidth="1" min="4" max="4"/>
    <col width="8" customWidth="1" min="5" max="5"/>
    <col width="8" customWidth="1" min="6" max="6"/>
    <col width="16" customWidth="1" min="7" max="7"/>
    <col width="56" customWidth="1" min="8" max="8"/>
    <col width="40" customWidth="1" min="9" max="9"/>
    <col width="12" customWidth="1" min="10" max="10"/>
    <col width="11" customWidth="1" min="11" max="11"/>
    <col width="24" customWidth="1" min="12" max="12"/>
    <col width="3" customWidth="1" min="13" max="13"/>
    <col width="12" customWidth="1" min="14" max="14"/>
    <col width="30" customWidth="1" min="15" max="15"/>
  </cols>
  <sheetData>
    <row r="1" ht="23" customHeight="1">
      <c r="A1" s="1" t="inlineStr">
        <is>
          <t>Risk Register — the top risks with likelihood × impact scoring, an owner, a mitigation and an early-warning trigger; reviewed quarterly, glanced at monthly.</t>
        </is>
      </c>
    </row>
    <row r="2" ht="18" customHeight="1">
      <c r="A2" s="2" t="inlineStr">
        <is>
          <t>Scores (grey italic) are illustrative — re-score with the founders. Score = likelihood × impact: red ≥ 15, amber 8–14, green &lt; 8. Add new risks below; keep closed ones for memory.</t>
        </is>
      </c>
    </row>
    <row r="4" ht="32" customHeight="1">
      <c r="A4" s="3" t="inlineStr">
        <is>
          <t>#</t>
        </is>
      </c>
      <c r="B4" s="3" t="inlineStr">
        <is>
          <t>Risk</t>
        </is>
      </c>
      <c r="C4" s="3" t="inlineStr">
        <is>
          <t>Category</t>
        </is>
      </c>
      <c r="D4" s="3" t="inlineStr">
        <is>
          <t>Likelihood (1–5)</t>
        </is>
      </c>
      <c r="E4" s="3" t="inlineStr">
        <is>
          <t>Impact (1–5)</t>
        </is>
      </c>
      <c r="F4" s="3" t="inlineStr">
        <is>
          <t>Score</t>
        </is>
      </c>
      <c r="G4" s="3" t="inlineStr">
        <is>
          <t>Owner</t>
        </is>
      </c>
      <c r="H4" s="3" t="inlineStr">
        <is>
          <t>Mitigation</t>
        </is>
      </c>
      <c r="I4" s="3" t="inlineStr">
        <is>
          <t>Trigger / early warning</t>
        </is>
      </c>
      <c r="J4" s="3" t="inlineStr">
        <is>
          <t>Review date</t>
        </is>
      </c>
      <c r="K4" s="3" t="inlineStr">
        <is>
          <t>Status</t>
        </is>
      </c>
      <c r="L4" s="3" t="inlineStr">
        <is>
          <t>Notes</t>
        </is>
      </c>
      <c r="N4" s="3" t="inlineStr">
        <is>
          <t>Scoring guide</t>
        </is>
      </c>
      <c r="O4" s="3" t="inlineStr">
        <is>
          <t>Meaning</t>
        </is>
      </c>
    </row>
    <row r="5">
      <c r="A5" s="4" t="n">
        <v>1</v>
      </c>
      <c r="B5" s="6" t="inlineStr">
        <is>
          <t>Key-person dependency — one technical founder holds all production knowledge and credentials</t>
        </is>
      </c>
      <c r="C5" s="29" t="inlineStr">
        <is>
          <t>People</t>
        </is>
      </c>
      <c r="D5" s="65" t="n">
        <v>4</v>
      </c>
      <c r="E5" s="65" t="n">
        <v>5</v>
      </c>
      <c r="F5" s="66">
        <f>IF(D5="","",IF(E5="","",D5*E5))</f>
        <v/>
      </c>
      <c r="G5" s="29" t="inlineStr">
        <is>
          <t>COO</t>
        </is>
      </c>
      <c r="H5" s="44" t="inlineStr">
        <is>
          <t>Credentials in shared vault with break-glass; runbooks for deploy/restore; second person trained per critical task; SOP-ENG-001/003.</t>
        </is>
      </c>
      <c r="I5" s="44" t="inlineStr">
        <is>
          <t>Any deploy or incident that only one person can handle; unplanned absence &gt; 3 days.</t>
        </is>
      </c>
      <c r="J5" s="61" t="n">
        <v>46356</v>
      </c>
      <c r="K5" s="29" t="inlineStr">
        <is>
          <t>Open</t>
        </is>
      </c>
      <c r="L5" s="6" t="n"/>
      <c r="N5" s="67" t="inlineStr">
        <is>
          <t>Likelihood 1</t>
        </is>
      </c>
      <c r="O5" s="44" t="inlineStr">
        <is>
          <t>Rare — not expected in 2 years</t>
        </is>
      </c>
    </row>
    <row r="6">
      <c r="A6" s="4" t="n">
        <v>2</v>
      </c>
      <c r="B6" s="6" t="inlineStr">
        <is>
          <t>Cash runway shortfall — burn continues while pricing/monetisation is undecided</t>
        </is>
      </c>
      <c r="C6" s="29" t="inlineStr">
        <is>
          <t>Financial</t>
        </is>
      </c>
      <c r="D6" s="65" t="n">
        <v>3</v>
      </c>
      <c r="E6" s="65" t="n">
        <v>5</v>
      </c>
      <c r="F6" s="66">
        <f>IF(D6="","",IF(E6="","",D6*E6))</f>
        <v/>
      </c>
      <c r="G6" s="29" t="inlineStr">
        <is>
          <t>COO</t>
        </is>
      </c>
      <c r="H6" s="44" t="inlineStr">
        <is>
          <t>13-week cash forecast weekly; red line at 6 months; pricing decision by a dated milestone; cost review quarterly; Seed Fund / grants pipeline.</t>
        </is>
      </c>
      <c r="I6" s="44" t="inlineStr">
        <is>
          <t>Runway &lt; 9 months on the Runway tab; net burn up 15 % month-on-month.</t>
        </is>
      </c>
      <c r="J6" s="61" t="n">
        <v>46356</v>
      </c>
      <c r="K6" s="29" t="inlineStr">
        <is>
          <t>Open</t>
        </is>
      </c>
      <c r="L6" s="6" t="n"/>
      <c r="N6" s="67" t="inlineStr">
        <is>
          <t>Likelihood 2</t>
        </is>
      </c>
      <c r="O6" s="44" t="inlineStr">
        <is>
          <t>Unlikely — could happen once in 2 years</t>
        </is>
      </c>
    </row>
    <row r="7">
      <c r="A7" s="4" t="n">
        <v>3</v>
      </c>
      <c r="B7" s="6" t="inlineStr">
        <is>
          <t>Single-client / single-channel concentration — early revenue tied to one dealer group or one OMC channel</t>
        </is>
      </c>
      <c r="C7" s="29" t="inlineStr">
        <is>
          <t>Strategic</t>
        </is>
      </c>
      <c r="D7" s="65" t="n">
        <v>3</v>
      </c>
      <c r="E7" s="65" t="n">
        <v>4</v>
      </c>
      <c r="F7" s="66">
        <f>IF(D7="","",IF(E7="","",D7*E7))</f>
        <v/>
      </c>
      <c r="G7" s="29" t="inlineStr">
        <is>
          <t>Domain director</t>
        </is>
      </c>
      <c r="H7" s="44" t="inlineStr">
        <is>
          <t>Diversify to ≥ 3 channels (direct dealers, association, OMC/IOCL); no client &gt; 30 % of MRR; written MoUs.</t>
        </is>
      </c>
      <c r="I7" s="44" t="inlineStr">
        <is>
          <t>One tenant/channel &gt; 30 % of pipeline or revenue.</t>
        </is>
      </c>
      <c r="J7" s="61" t="n">
        <v>46387</v>
      </c>
      <c r="K7" s="29" t="inlineStr">
        <is>
          <t>Open</t>
        </is>
      </c>
      <c r="L7" s="6" t="n"/>
      <c r="N7" s="67" t="inlineStr">
        <is>
          <t>Likelihood 3</t>
        </is>
      </c>
      <c r="O7" s="44" t="inlineStr">
        <is>
          <t>Possible — could happen this year</t>
        </is>
      </c>
    </row>
    <row r="8">
      <c r="A8" s="4" t="n">
        <v>4</v>
      </c>
      <c r="B8" s="6" t="inlineStr">
        <is>
          <t>Data breach / leak of dealer &amp; customer data (DPDP exposure)</t>
        </is>
      </c>
      <c r="C8" s="29" t="inlineStr">
        <is>
          <t>Security</t>
        </is>
      </c>
      <c r="D8" s="65" t="n">
        <v>2</v>
      </c>
      <c r="E8" s="65" t="n">
        <v>5</v>
      </c>
      <c r="F8" s="66">
        <f>IF(D8="","",IF(E8="","",D8*E8))</f>
        <v/>
      </c>
      <c r="G8" s="29" t="inlineStr">
        <is>
          <t>CEO/CTO</t>
        </is>
      </c>
      <c r="H8" s="44" t="inlineStr">
        <is>
          <t>Least-privilege on Atlas/AWS/GitHub; 2FA; encryption at rest; data map + retention; breach SOP with 6-hour CERT-In step; annual pen-test when affordable.</t>
        </is>
      </c>
      <c r="I8" s="44" t="inlineStr">
        <is>
          <t>Failed access review; unusual DB egress; vendor breach notice.</t>
        </is>
      </c>
      <c r="J8" s="61" t="n">
        <v>46326</v>
      </c>
      <c r="K8" s="29" t="inlineStr">
        <is>
          <t>Open</t>
        </is>
      </c>
      <c r="L8" s="6" t="n"/>
      <c r="N8" s="67" t="inlineStr">
        <is>
          <t>Likelihood 4</t>
        </is>
      </c>
      <c r="O8" s="44" t="inlineStr">
        <is>
          <t>Likely — expected this year</t>
        </is>
      </c>
    </row>
    <row r="9">
      <c r="A9" s="4" t="n">
        <v>5</v>
      </c>
      <c r="B9" s="6" t="inlineStr">
        <is>
          <t>Server / API outage during the 10 PM–6 AM rate-confirmation window</t>
        </is>
      </c>
      <c r="C9" s="29" t="inlineStr">
        <is>
          <t>Technology</t>
        </is>
      </c>
      <c r="D9" s="65" t="n">
        <v>3</v>
      </c>
      <c r="E9" s="65" t="n">
        <v>4</v>
      </c>
      <c r="F9" s="66">
        <f>IF(D9="","",IF(E9="","",D9*E9))</f>
        <v/>
      </c>
      <c r="G9" s="29" t="inlineStr">
        <is>
          <t>CEO/CTO</t>
        </is>
      </c>
      <c r="H9" s="44" t="inlineStr">
        <is>
          <t>Uptime monitoring + alerts to two phones; PM2 auto-restart; runbook; status broadcast template; staged releases never on window eve.</t>
        </is>
      </c>
      <c r="I9" s="44" t="inlineStr">
        <is>
          <t>Uptime &lt; 99.9 % in any week; &gt; 1 P1 per month.</t>
        </is>
      </c>
      <c r="J9" s="61" t="n">
        <v>46326</v>
      </c>
      <c r="K9" s="29" t="inlineStr">
        <is>
          <t>Mitigating</t>
        </is>
      </c>
      <c r="L9" s="6" t="n"/>
      <c r="N9" s="67" t="inlineStr">
        <is>
          <t>Likelihood 5</t>
        </is>
      </c>
      <c r="O9" s="44" t="inlineStr">
        <is>
          <t>Almost certain — happening / imminent</t>
        </is>
      </c>
    </row>
    <row r="10">
      <c r="A10" s="4" t="n">
        <v>6</v>
      </c>
      <c r="B10" s="6" t="inlineStr">
        <is>
          <t>OTP / SMS vendor outage (2Factor.in) blocks logins and dispatch OTPs</t>
        </is>
      </c>
      <c r="C10" s="29" t="inlineStr">
        <is>
          <t>Technology</t>
        </is>
      </c>
      <c r="D10" s="65" t="n">
        <v>3</v>
      </c>
      <c r="E10" s="65" t="n">
        <v>4</v>
      </c>
      <c r="F10" s="66">
        <f>IF(D10="","",IF(E10="","",D10*E10))</f>
        <v/>
      </c>
      <c r="G10" s="29" t="inlineStr">
        <is>
          <t>Developer</t>
        </is>
      </c>
      <c r="H10" s="44" t="inlineStr">
        <is>
          <t>Second SMS route documented and tested; low-balance alerts; WhatsApp OTP fallback evaluated; delivery-rate row on scorecard.</t>
        </is>
      </c>
      <c r="I10" s="44" t="inlineStr">
        <is>
          <t>OTP delivery &lt; 95 % or support tickets 'OTP not received' spike.</t>
        </is>
      </c>
      <c r="J10" s="61" t="n">
        <v>46326</v>
      </c>
      <c r="K10" s="29" t="inlineStr">
        <is>
          <t>Open</t>
        </is>
      </c>
      <c r="L10" s="6" t="n"/>
      <c r="N10" s="67" t="inlineStr">
        <is>
          <t>Impact 1</t>
        </is>
      </c>
      <c r="O10" s="44" t="inlineStr">
        <is>
          <t>Negligible — &lt; ₹25k or &lt; 1 day lost</t>
        </is>
      </c>
    </row>
    <row r="11">
      <c r="A11" s="4" t="n">
        <v>7</v>
      </c>
      <c r="B11" s="6" t="inlineStr">
        <is>
          <t>Compliance miss — a GST/TDS/ROC filing or DIR-3 KYC deadline slips (penalties, DIN deactivation)</t>
        </is>
      </c>
      <c r="C11" s="29" t="inlineStr">
        <is>
          <t>Compliance</t>
        </is>
      </c>
      <c r="D11" s="65" t="n">
        <v>3</v>
      </c>
      <c r="E11" s="65" t="n">
        <v>3</v>
      </c>
      <c r="F11" s="66">
        <f>IF(D11="","",IF(E11="","",D11*E11))</f>
        <v/>
      </c>
      <c r="G11" s="29" t="inlineStr">
        <is>
          <t>COO</t>
        </is>
      </c>
      <c r="H11" s="44" t="inlineStr">
        <is>
          <t>Compliance Calendar run monthly with CA; owner + backup per item; alerts at 30/7 days; annual April verification.</t>
        </is>
      </c>
      <c r="I11" s="44" t="inlineStr">
        <is>
          <t>Any item red on the Compliance Calendar without an owner action.</t>
        </is>
      </c>
      <c r="J11" s="61" t="n">
        <v>46295</v>
      </c>
      <c r="K11" s="29" t="inlineStr">
        <is>
          <t>Mitigating</t>
        </is>
      </c>
      <c r="L11" s="6" t="n"/>
      <c r="N11" s="67" t="inlineStr">
        <is>
          <t>Impact 2</t>
        </is>
      </c>
      <c r="O11" s="44" t="inlineStr">
        <is>
          <t>Minor — ₹25k–1 lakh, a few days, no customer harm</t>
        </is>
      </c>
    </row>
    <row r="12">
      <c r="A12" s="4" t="n">
        <v>8</v>
      </c>
      <c r="B12" s="6" t="inlineStr">
        <is>
          <t>IP ownership gaps — founder/contractor code and designs not assigned to the company</t>
        </is>
      </c>
      <c r="C12" s="29" t="inlineStr">
        <is>
          <t>Legal</t>
        </is>
      </c>
      <c r="D12" s="65" t="n">
        <v>3</v>
      </c>
      <c r="E12" s="65" t="n">
        <v>4</v>
      </c>
      <c r="F12" s="66">
        <f>IF(D12="","",IF(E12="","",D12*E12))</f>
        <v/>
      </c>
      <c r="G12" s="29" t="inlineStr">
        <is>
          <t>COO</t>
        </is>
      </c>
      <c r="H12" s="44" t="inlineStr">
        <is>
          <t>IP assignment deeds from all three directors and every contractor; clause in contractor template (T11); trademark filing for DZZLO.</t>
        </is>
      </c>
      <c r="I12" s="44" t="inlineStr">
        <is>
          <t>Any contributor without a signed assignment; app-store or partner due-diligence request.</t>
        </is>
      </c>
      <c r="J12" s="61" t="n">
        <v>46310</v>
      </c>
      <c r="K12" s="29" t="inlineStr">
        <is>
          <t>Open</t>
        </is>
      </c>
      <c r="L12" s="6" t="n"/>
      <c r="N12" s="67" t="inlineStr">
        <is>
          <t>Impact 3</t>
        </is>
      </c>
      <c r="O12" s="44" t="inlineStr">
        <is>
          <t>Moderate — 1–5 lakh, a week, some dealers affected</t>
        </is>
      </c>
    </row>
    <row r="13">
      <c r="A13" s="4" t="n">
        <v>9</v>
      </c>
      <c r="B13" s="6" t="inlineStr">
        <is>
          <t>Founder conflict / unclear decision rights in a family-run company</t>
        </is>
      </c>
      <c r="C13" s="29" t="inlineStr">
        <is>
          <t>People</t>
        </is>
      </c>
      <c r="D13" s="65" t="n">
        <v>2</v>
      </c>
      <c r="E13" s="65" t="n">
        <v>5</v>
      </c>
      <c r="F13" s="66">
        <f>IF(D13="","",IF(E13="","",D13*E13))</f>
        <v/>
      </c>
      <c r="G13" s="29" t="inlineStr">
        <is>
          <t>CEO/CTO</t>
        </is>
      </c>
      <c r="H13" s="44" t="inlineStr">
        <is>
          <t>CEO–COO operating agreement (T01); DoA matrix; decision log; disagreement protocol; quarterly review of the agreement.</t>
        </is>
      </c>
      <c r="I13" s="44" t="inlineStr">
        <is>
          <t>Decisions re-litigated; escalations outside the agreed protocol; missed 1:1s for 3+ weeks.</t>
        </is>
      </c>
      <c r="J13" s="61" t="n">
        <v>46387</v>
      </c>
      <c r="K13" s="29" t="inlineStr">
        <is>
          <t>Open</t>
        </is>
      </c>
      <c r="L13" s="6" t="n"/>
      <c r="N13" s="67" t="inlineStr">
        <is>
          <t>Impact 4</t>
        </is>
      </c>
      <c r="O13" s="44" t="inlineStr">
        <is>
          <t>Major — 5–25 lakh, month-long, many dealers, penalty</t>
        </is>
      </c>
    </row>
    <row r="14">
      <c r="A14" s="4" t="n">
        <v>10</v>
      </c>
      <c r="B14" s="6" t="inlineStr">
        <is>
          <t>Hiring mistakes — first hires (support/ops, field sales) do not work out or are hired without a process</t>
        </is>
      </c>
      <c r="C14" s="29" t="inlineStr">
        <is>
          <t>People</t>
        </is>
      </c>
      <c r="D14" s="65" t="n">
        <v>3</v>
      </c>
      <c r="E14" s="65" t="n">
        <v>3</v>
      </c>
      <c r="F14" s="66">
        <f>IF(D14="","",IF(E14="","",D14*E14))</f>
        <v/>
      </c>
      <c r="G14" s="29" t="inlineStr">
        <is>
          <t>COO</t>
        </is>
      </c>
      <c r="H14" s="44" t="inlineStr">
        <is>
          <t>Scorecard-first hiring (T10); work sample; probation with 30-60-90 plan; contractors before employees.</t>
        </is>
      </c>
      <c r="I14" s="44" t="inlineStr">
        <is>
          <t>Missed 30-day outcomes; more than one regretted hire in a year.</t>
        </is>
      </c>
      <c r="J14" s="61" t="n">
        <v>46387</v>
      </c>
      <c r="K14" s="29" t="inlineStr">
        <is>
          <t>Open</t>
        </is>
      </c>
      <c r="L14" s="6" t="n"/>
      <c r="N14" s="67" t="inlineStr">
        <is>
          <t>Impact 5</t>
        </is>
      </c>
      <c r="O14" s="44" t="inlineStr">
        <is>
          <t>Severe — company-threatening: cash-out, breach, DIN loss</t>
        </is>
      </c>
    </row>
    <row r="15">
      <c r="A15" s="4" t="n">
        <v>11</v>
      </c>
      <c r="B15" s="6" t="inlineStr">
        <is>
          <t>App-store rejection or account action (policy, privacy labels, payments rules) blocks a release</t>
        </is>
      </c>
      <c r="C15" s="29" t="inlineStr">
        <is>
          <t>Technology</t>
        </is>
      </c>
      <c r="D15" s="65" t="n">
        <v>2</v>
      </c>
      <c r="E15" s="65" t="n">
        <v>4</v>
      </c>
      <c r="F15" s="66">
        <f>IF(D15="","",IF(E15="","",D15*E15))</f>
        <v/>
      </c>
      <c r="G15" s="29" t="inlineStr">
        <is>
          <t>CEO/CTO</t>
        </is>
      </c>
      <c r="H15" s="44" t="inlineStr">
        <is>
          <t>Release checklist (T26) with store-policy review; subscription strategy compliant with store rules; keep agreements/tax forms current; staged rollouts.</t>
        </is>
      </c>
      <c r="I15" s="44" t="inlineStr">
        <is>
          <t>Rejection notice; policy update email; review time &gt; 7 days.</t>
        </is>
      </c>
      <c r="J15" s="61" t="n">
        <v>46341</v>
      </c>
      <c r="K15" s="29" t="inlineStr">
        <is>
          <t>Open</t>
        </is>
      </c>
      <c r="L15" s="6" t="n"/>
      <c r="N15" s="68" t="inlineStr">
        <is>
          <t>Score ≥ 15</t>
        </is>
      </c>
      <c r="O15" s="69" t="inlineStr">
        <is>
          <t>Red — act this month; owner reports weekly</t>
        </is>
      </c>
    </row>
    <row r="16">
      <c r="A16" s="4" t="n">
        <v>12</v>
      </c>
      <c r="B16" s="6" t="inlineStr">
        <is>
          <t>Regulatory change — GST/e-invoicing/DPDP/labour-code rules change the product or our obligations</t>
        </is>
      </c>
      <c r="C16" s="29" t="inlineStr">
        <is>
          <t>Compliance</t>
        </is>
      </c>
      <c r="D16" s="65" t="n">
        <v>3</v>
      </c>
      <c r="E16" s="65" t="n">
        <v>3</v>
      </c>
      <c r="F16" s="66">
        <f>IF(D16="","",IF(E16="","",D16*E16))</f>
        <v/>
      </c>
      <c r="G16" s="29" t="inlineStr">
        <is>
          <t>COO</t>
        </is>
      </c>
      <c r="H16" s="44" t="inlineStr">
        <is>
          <t>Quarterly review with CA/CS; watch OMC/GST notifications; feature flags for tax logic; budget for compliance work.</t>
        </is>
      </c>
      <c r="I16" s="44" t="inlineStr">
        <is>
          <t>New notification affecting fuel retail invoicing or data rules.</t>
        </is>
      </c>
      <c r="J16" s="61" t="n">
        <v>46387</v>
      </c>
      <c r="K16" s="29" t="inlineStr">
        <is>
          <t>Open</t>
        </is>
      </c>
      <c r="L16" s="6" t="n"/>
      <c r="N16" s="70" t="inlineStr">
        <is>
          <t>Score 8–14</t>
        </is>
      </c>
      <c r="O16" s="71" t="inlineStr">
        <is>
          <t>Amber — mitigation plan with dates; review quarterly</t>
        </is>
      </c>
    </row>
    <row r="17">
      <c r="A17" s="19" t="n"/>
      <c r="B17" s="6" t="n"/>
      <c r="C17" s="19" t="n"/>
      <c r="D17" s="59" t="n"/>
      <c r="E17" s="59" t="n"/>
      <c r="F17" s="66">
        <f>IF(D17="","",IF(E17="","",D17*E17))</f>
        <v/>
      </c>
      <c r="G17" s="19" t="n"/>
      <c r="H17" s="6" t="n"/>
      <c r="I17" s="6" t="n"/>
      <c r="J17" s="63" t="n"/>
      <c r="K17" s="19" t="n"/>
      <c r="L17" s="6" t="n"/>
      <c r="N17" s="72" t="inlineStr">
        <is>
          <t>Score &lt; 8</t>
        </is>
      </c>
      <c r="O17" s="73" t="inlineStr">
        <is>
          <t>Green — accept &amp; monitor</t>
        </is>
      </c>
    </row>
    <row r="18">
      <c r="A18" s="19" t="n"/>
      <c r="B18" s="6" t="n"/>
      <c r="C18" s="19" t="n"/>
      <c r="D18" s="59" t="n"/>
      <c r="E18" s="59" t="n"/>
      <c r="F18" s="66">
        <f>IF(D18="","",IF(E18="","",D18*E18))</f>
        <v/>
      </c>
      <c r="G18" s="19" t="n"/>
      <c r="H18" s="6" t="n"/>
      <c r="I18" s="6" t="n"/>
      <c r="J18" s="63" t="n"/>
      <c r="K18" s="19" t="n"/>
      <c r="L18" s="6" t="n"/>
    </row>
    <row r="19">
      <c r="A19" s="19" t="n"/>
      <c r="B19" s="6" t="n"/>
      <c r="C19" s="19" t="n"/>
      <c r="D19" s="59" t="n"/>
      <c r="E19" s="59" t="n"/>
      <c r="F19" s="66">
        <f>IF(D19="","",IF(E19="","",D19*E19))</f>
        <v/>
      </c>
      <c r="G19" s="19" t="n"/>
      <c r="H19" s="6" t="n"/>
      <c r="I19" s="6" t="n"/>
      <c r="J19" s="63" t="n"/>
      <c r="K19" s="19" t="n"/>
      <c r="L19" s="6" t="n"/>
    </row>
    <row r="20">
      <c r="A20" s="19" t="n"/>
      <c r="B20" s="6" t="n"/>
      <c r="C20" s="19" t="n"/>
      <c r="D20" s="59" t="n"/>
      <c r="E20" s="59" t="n"/>
      <c r="F20" s="66">
        <f>IF(D20="","",IF(E20="","",D20*E20))</f>
        <v/>
      </c>
      <c r="G20" s="19" t="n"/>
      <c r="H20" s="6" t="n"/>
      <c r="I20" s="6" t="n"/>
      <c r="J20" s="63" t="n"/>
      <c r="K20" s="19" t="n"/>
      <c r="L20" s="6" t="n"/>
    </row>
    <row r="21">
      <c r="A21" s="19" t="n"/>
      <c r="B21" s="6" t="n"/>
      <c r="C21" s="19" t="n"/>
      <c r="D21" s="59" t="n"/>
      <c r="E21" s="59" t="n"/>
      <c r="F21" s="66">
        <f>IF(D21="","",IF(E21="","",D21*E21))</f>
        <v/>
      </c>
      <c r="G21" s="19" t="n"/>
      <c r="H21" s="6" t="n"/>
      <c r="I21" s="6" t="n"/>
      <c r="J21" s="63" t="n"/>
      <c r="K21" s="19" t="n"/>
      <c r="L21" s="6" t="n"/>
    </row>
    <row r="22">
      <c r="A22" s="19" t="n"/>
      <c r="B22" s="6" t="n"/>
      <c r="C22" s="19" t="n"/>
      <c r="D22" s="59" t="n"/>
      <c r="E22" s="59" t="n"/>
      <c r="F22" s="66">
        <f>IF(D22="","",IF(E22="","",D22*E22))</f>
        <v/>
      </c>
      <c r="G22" s="19" t="n"/>
      <c r="H22" s="6" t="n"/>
      <c r="I22" s="6" t="n"/>
      <c r="J22" s="63" t="n"/>
      <c r="K22" s="19" t="n"/>
      <c r="L22" s="6" t="n"/>
    </row>
    <row r="23">
      <c r="A23" s="19" t="n"/>
      <c r="B23" s="6" t="n"/>
      <c r="C23" s="19" t="n"/>
      <c r="D23" s="59" t="n"/>
      <c r="E23" s="59" t="n"/>
      <c r="F23" s="66">
        <f>IF(D23="","",IF(E23="","",D23*E23))</f>
        <v/>
      </c>
      <c r="G23" s="19" t="n"/>
      <c r="H23" s="6" t="n"/>
      <c r="I23" s="6" t="n"/>
      <c r="J23" s="63" t="n"/>
      <c r="K23" s="19" t="n"/>
      <c r="L23" s="6" t="n"/>
    </row>
    <row r="24">
      <c r="A24" s="19" t="n"/>
      <c r="B24" s="6" t="n"/>
      <c r="C24" s="19" t="n"/>
      <c r="D24" s="59" t="n"/>
      <c r="E24" s="59" t="n"/>
      <c r="F24" s="66">
        <f>IF(D24="","",IF(E24="","",D24*E24))</f>
        <v/>
      </c>
      <c r="G24" s="19" t="n"/>
      <c r="H24" s="6" t="n"/>
      <c r="I24" s="6" t="n"/>
      <c r="J24" s="63" t="n"/>
      <c r="K24" s="19" t="n"/>
      <c r="L24" s="6" t="n"/>
    </row>
    <row r="25">
      <c r="A25" s="24" t="n"/>
      <c r="B25" s="38" t="inlineStr">
        <is>
          <t>Open + mitigating risks (count)</t>
        </is>
      </c>
      <c r="C25" s="24" t="n"/>
      <c r="D25" s="24" t="n"/>
      <c r="E25" s="24" t="n"/>
      <c r="F25" s="74">
        <f>COUNTIF(K5:K24,"Open")+COUNTIF(K5:K24,"Mitigating")</f>
        <v/>
      </c>
    </row>
    <row r="26">
      <c r="A26" s="24" t="n"/>
      <c r="B26" s="38" t="inlineStr">
        <is>
          <t>Red risks — score ≥ 15 (count)</t>
        </is>
      </c>
      <c r="C26" s="24" t="n"/>
      <c r="D26" s="24" t="n"/>
      <c r="E26" s="24" t="n"/>
      <c r="F26" s="74">
        <f>COUNTIF(F5:F24,"&gt;=15")</f>
        <v/>
      </c>
    </row>
    <row r="27">
      <c r="A27" s="24" t="n"/>
      <c r="B27" s="38" t="inlineStr">
        <is>
          <t>Average score of scored risks</t>
        </is>
      </c>
      <c r="C27" s="24" t="n"/>
      <c r="D27" s="24" t="n"/>
      <c r="E27" s="24" t="n"/>
      <c r="F27" s="75">
        <f>IF(COUNTA(D5:D24)=0,"",AVERAGE(F5:F24))</f>
        <v/>
      </c>
    </row>
  </sheetData>
  <autoFilter ref="A4:L24"/>
  <mergeCells count="2">
    <mergeCell ref="A2:H2"/>
    <mergeCell ref="A1:H1"/>
  </mergeCells>
  <conditionalFormatting sqref="F5:F24">
    <cfRule type="expression" priority="1" dxfId="0">
      <formula>IF(F5="",FALSE,F5&gt;=15)</formula>
    </cfRule>
    <cfRule type="expression" priority="2" dxfId="2">
      <formula>IF(F5="",FALSE,IF(F5&gt;=15,FALSE,F5&gt;=8))</formula>
    </cfRule>
    <cfRule type="expression" priority="3" dxfId="1">
      <formula>IF(F5="",FALSE,F5&lt;8)</formula>
    </cfRule>
  </conditionalFormatting>
  <conditionalFormatting sqref="J5:J24">
    <cfRule type="expression" priority="4" dxfId="2">
      <formula>IF(J5="",FALSE,IF(K5="Closed",FALSE,J5&lt;TODAY()))</formula>
    </cfRule>
  </conditionalFormatting>
  <dataValidations count="4">
    <dataValidation sqref="C5:C24" showDropDown="0" showInputMessage="0" showErrorMessage="1" allowBlank="1" errorTitle="Pick from list" error="Please pick a value from the dropdown." type="list">
      <formula1>"Financial,People,Customer,Technology,Security,Compliance,Legal,Strategic,Operational"</formula1>
    </dataValidation>
    <dataValidation sqref="D5:E24" showDropDown="0" showInputMessage="0" showErrorMessage="1" allowBlank="1" error="Enter a whole number between 1 and 5." type="whole" operator="between">
      <formula1>1</formula1>
      <formula2>5</formula2>
    </dataValidation>
    <dataValidation sqref="G5:G24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K5:K24" showDropDown="0" showInputMessage="0" showErrorMessage="1" allowBlank="1" errorTitle="Pick from list" error="Please pick a value from the dropdown." type="list">
      <formula1>"Open,Mitigating,Accepted,Closed"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75569"/>
    <outlinePr summaryBelow="1" summaryRight="1"/>
    <pageSetUpPr/>
  </sheetPr>
  <dimension ref="A1:J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6" customWidth="1" min="2" max="2"/>
    <col width="11" customWidth="1" min="3" max="3"/>
    <col width="11" customWidth="1" min="4" max="4"/>
    <col width="13" customWidth="1" min="5" max="5"/>
    <col width="12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 ht="40" customHeight="1">
      <c r="A1" s="1" t="inlineStr">
        <is>
          <t>RACI — who is Responsible, Accountable, Consulted and Informed for each recurring activity; exactly one A per row (A/R = accountable and does the work).</t>
        </is>
      </c>
    </row>
    <row r="2" ht="30" customHeight="1">
      <c r="A2" s="2" t="inlineStr">
        <is>
          <t>Starter allocation for a 3-director company + support/ops + developer + external CA/CS — edit to match reality; the Check column flags rows without exactly one A. Blue = A, green = R, amber = C, grey = I.</t>
        </is>
      </c>
    </row>
    <row r="4" ht="32" customHeight="1">
      <c r="A4" s="3" t="inlineStr">
        <is>
          <t>Function</t>
        </is>
      </c>
      <c r="B4" s="3" t="inlineStr">
        <is>
          <t>Activity</t>
        </is>
      </c>
      <c r="C4" s="3" t="inlineStr">
        <is>
          <t>CEO/CTO</t>
        </is>
      </c>
      <c r="D4" s="3" t="inlineStr">
        <is>
          <t>COO</t>
        </is>
      </c>
      <c r="E4" s="3" t="inlineStr">
        <is>
          <t>Domain director</t>
        </is>
      </c>
      <c r="F4" s="3" t="inlineStr">
        <is>
          <t>Support/Ops</t>
        </is>
      </c>
      <c r="G4" s="3" t="inlineStr">
        <is>
          <t>Developer</t>
        </is>
      </c>
      <c r="H4" s="3" t="inlineStr">
        <is>
          <t>CA/CS (external)</t>
        </is>
      </c>
      <c r="I4" s="3" t="inlineStr">
        <is>
          <t>Check (one A per row)</t>
        </is>
      </c>
      <c r="J4" s="3" t="inlineStr">
        <is>
          <t>Notes</t>
        </is>
      </c>
    </row>
    <row r="5">
      <c r="A5" s="29" t="inlineStr">
        <is>
          <t>Governance &amp; planning</t>
        </is>
      </c>
      <c r="B5" s="6" t="inlineStr">
        <is>
          <t>Annual plan, budget &amp; headcount</t>
        </is>
      </c>
      <c r="C5" s="4" t="inlineStr">
        <is>
          <t>A</t>
        </is>
      </c>
      <c r="D5" s="4" t="inlineStr">
        <is>
          <t>R</t>
        </is>
      </c>
      <c r="E5" s="4" t="inlineStr">
        <is>
          <t>C</t>
        </is>
      </c>
      <c r="F5" s="4" t="inlineStr">
        <is>
          <t>I</t>
        </is>
      </c>
      <c r="G5" s="4" t="inlineStr">
        <is>
          <t>I</t>
        </is>
      </c>
      <c r="H5" s="4" t="inlineStr">
        <is>
          <t>C</t>
        </is>
      </c>
      <c r="I5" s="49">
        <f>IF(COUNTIF(C5:H5,"A")+COUNTIF(C5:H5,"A/R")=1,"OK","Needs exactly one A")</f>
        <v/>
      </c>
      <c r="J5" s="6" t="n"/>
    </row>
    <row r="6">
      <c r="A6" s="29" t="inlineStr">
        <is>
          <t>Governance &amp; planning</t>
        </is>
      </c>
      <c r="B6" s="6" t="inlineStr">
        <is>
          <t>Quarterly OKRs / rocks and quarterly review</t>
        </is>
      </c>
      <c r="C6" s="4" t="inlineStr">
        <is>
          <t>A</t>
        </is>
      </c>
      <c r="D6" s="4" t="inlineStr">
        <is>
          <t>R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C</t>
        </is>
      </c>
      <c r="H6" s="4" t="n"/>
      <c r="I6" s="49">
        <f>IF(COUNTIF(C6:H6,"A")+COUNTIF(C6:H6,"A/R")=1,"OK","Needs exactly one A")</f>
        <v/>
      </c>
      <c r="J6" s="6" t="n"/>
    </row>
    <row r="7">
      <c r="A7" s="29" t="inlineStr">
        <is>
          <t>Governance &amp; planning</t>
        </is>
      </c>
      <c r="B7" s="6" t="inlineStr">
        <is>
          <t>Weekly ops meeting (scorecard → rocks → issues)</t>
        </is>
      </c>
      <c r="C7" s="4" t="inlineStr">
        <is>
          <t>C</t>
        </is>
      </c>
      <c r="D7" s="4" t="inlineStr">
        <is>
          <t>A/R</t>
        </is>
      </c>
      <c r="E7" s="4" t="inlineStr">
        <is>
          <t>R</t>
        </is>
      </c>
      <c r="F7" s="4" t="inlineStr">
        <is>
          <t>R</t>
        </is>
      </c>
      <c r="G7" s="4" t="inlineStr">
        <is>
          <t>R</t>
        </is>
      </c>
      <c r="H7" s="4" t="n"/>
      <c r="I7" s="49">
        <f>IF(COUNTIF(C7:H7,"A")+COUNTIF(C7:H7,"A/R")=1,"OK","Needs exactly one A")</f>
        <v/>
      </c>
      <c r="J7" s="6" t="n"/>
    </row>
    <row r="8">
      <c r="A8" s="29" t="inlineStr">
        <is>
          <t>Governance &amp; planning</t>
        </is>
      </c>
      <c r="B8" s="6" t="inlineStr">
        <is>
          <t>Board meetings, minutes &amp; statutory registers</t>
        </is>
      </c>
      <c r="C8" s="4" t="inlineStr">
        <is>
          <t>A</t>
        </is>
      </c>
      <c r="D8" s="4" t="inlineStr">
        <is>
          <t>C</t>
        </is>
      </c>
      <c r="E8" s="4" t="inlineStr">
        <is>
          <t>I</t>
        </is>
      </c>
      <c r="F8" s="4" t="n"/>
      <c r="G8" s="4" t="n"/>
      <c r="H8" s="4" t="inlineStr">
        <is>
          <t>R</t>
        </is>
      </c>
      <c r="I8" s="49">
        <f>IF(COUNTIF(C8:H8,"A")+COUNTIF(C8:H8,"A/R")=1,"OK","Needs exactly one A")</f>
        <v/>
      </c>
      <c r="J8" s="6" t="n"/>
    </row>
    <row r="9">
      <c r="A9" s="29" t="inlineStr">
        <is>
          <t>Governance &amp; planning</t>
        </is>
      </c>
      <c r="B9" s="6" t="inlineStr">
        <is>
          <t>Decision log &amp; CEO–COO operating agreement review</t>
        </is>
      </c>
      <c r="C9" s="4" t="inlineStr">
        <is>
          <t>A</t>
        </is>
      </c>
      <c r="D9" s="4" t="inlineStr">
        <is>
          <t>R</t>
        </is>
      </c>
      <c r="E9" s="4" t="inlineStr">
        <is>
          <t>C</t>
        </is>
      </c>
      <c r="F9" s="4" t="n"/>
      <c r="G9" s="4" t="n"/>
      <c r="H9" s="4" t="n"/>
      <c r="I9" s="49">
        <f>IF(COUNTIF(C9:H9,"A")+COUNTIF(C9:H9,"A/R")=1,"OK","Needs exactly one A")</f>
        <v/>
      </c>
      <c r="J9" s="6" t="n"/>
    </row>
    <row r="10">
      <c r="A10" s="29" t="inlineStr">
        <is>
          <t>Finance</t>
        </is>
      </c>
      <c r="B10" s="6" t="inlineStr">
        <is>
          <t>13-week cash forecast &amp; runway update</t>
        </is>
      </c>
      <c r="C10" s="4" t="inlineStr">
        <is>
          <t>C</t>
        </is>
      </c>
      <c r="D10" s="4" t="inlineStr">
        <is>
          <t>A/R</t>
        </is>
      </c>
      <c r="E10" s="4" t="inlineStr">
        <is>
          <t>I</t>
        </is>
      </c>
      <c r="F10" s="4" t="n"/>
      <c r="G10" s="4" t="n"/>
      <c r="H10" s="4" t="inlineStr">
        <is>
          <t>I</t>
        </is>
      </c>
      <c r="I10" s="49">
        <f>IF(COUNTIF(C10:H10,"A")+COUNTIF(C10:H10,"A/R")=1,"OK","Needs exactly one A")</f>
        <v/>
      </c>
      <c r="J10" s="6" t="n"/>
    </row>
    <row r="11">
      <c r="A11" s="29" t="inlineStr">
        <is>
          <t>Finance</t>
        </is>
      </c>
      <c r="B11" s="6" t="inlineStr">
        <is>
          <t>Monthly close, budget vs actual &amp; MIS to directors</t>
        </is>
      </c>
      <c r="C11" s="4" t="inlineStr">
        <is>
          <t>I</t>
        </is>
      </c>
      <c r="D11" s="4" t="inlineStr">
        <is>
          <t>A</t>
        </is>
      </c>
      <c r="E11" s="4" t="inlineStr">
        <is>
          <t>I</t>
        </is>
      </c>
      <c r="F11" s="4" t="n"/>
      <c r="G11" s="4" t="n"/>
      <c r="H11" s="4" t="inlineStr">
        <is>
          <t>R</t>
        </is>
      </c>
      <c r="I11" s="49">
        <f>IF(COUNTIF(C11:H11,"A")+COUNTIF(C11:H11,"A/R")=1,"OK","Needs exactly one A")</f>
        <v/>
      </c>
      <c r="J11" s="6" t="n"/>
    </row>
    <row r="12">
      <c r="A12" s="29" t="inlineStr">
        <is>
          <t>Finance</t>
        </is>
      </c>
      <c r="B12" s="6" t="inlineStr">
        <is>
          <t>Vendor payments &amp; bank operations (maker–checker)</t>
        </is>
      </c>
      <c r="C12" s="4" t="inlineStr">
        <is>
          <t>R</t>
        </is>
      </c>
      <c r="D12" s="4" t="inlineStr">
        <is>
          <t>A</t>
        </is>
      </c>
      <c r="E12" s="4" t="inlineStr">
        <is>
          <t>I</t>
        </is>
      </c>
      <c r="F12" s="4" t="n"/>
      <c r="G12" s="4" t="n"/>
      <c r="H12" s="4" t="inlineStr">
        <is>
          <t>I</t>
        </is>
      </c>
      <c r="I12" s="49">
        <f>IF(COUNTIF(C12:H12,"A")+COUNTIF(C12:H12,"A/R")=1,"OK","Needs exactly one A")</f>
        <v/>
      </c>
      <c r="J12" s="6" t="n"/>
    </row>
    <row r="13">
      <c r="A13" s="29" t="inlineStr">
        <is>
          <t>Finance</t>
        </is>
      </c>
      <c r="B13" s="6" t="inlineStr">
        <is>
          <t>Spend approvals above DoA thresholds</t>
        </is>
      </c>
      <c r="C13" s="4" t="inlineStr">
        <is>
          <t>A</t>
        </is>
      </c>
      <c r="D13" s="4" t="inlineStr">
        <is>
          <t>R</t>
        </is>
      </c>
      <c r="E13" s="4" t="inlineStr">
        <is>
          <t>C</t>
        </is>
      </c>
      <c r="F13" s="4" t="inlineStr">
        <is>
          <t>I</t>
        </is>
      </c>
      <c r="G13" s="4" t="inlineStr">
        <is>
          <t>I</t>
        </is>
      </c>
      <c r="H13" s="4" t="n"/>
      <c r="I13" s="49">
        <f>IF(COUNTIF(C13:H13,"A")+COUNTIF(C13:H13,"A/R")=1,"OK","Needs exactly one A")</f>
        <v/>
      </c>
      <c r="J13" s="6" t="n"/>
    </row>
    <row r="14">
      <c r="A14" s="29" t="inlineStr">
        <is>
          <t>Compliance</t>
        </is>
      </c>
      <c r="B14" s="6" t="inlineStr">
        <is>
          <t>Statutory filings — GST, TDS, ROC, ITR (compliance calendar)</t>
        </is>
      </c>
      <c r="C14" s="4" t="inlineStr">
        <is>
          <t>I</t>
        </is>
      </c>
      <c r="D14" s="4" t="inlineStr">
        <is>
          <t>A</t>
        </is>
      </c>
      <c r="E14" s="4" t="n"/>
      <c r="F14" s="4" t="n"/>
      <c r="G14" s="4" t="n"/>
      <c r="H14" s="4" t="inlineStr">
        <is>
          <t>R</t>
        </is>
      </c>
      <c r="I14" s="49">
        <f>IF(COUNTIF(C14:H14,"A")+COUNTIF(C14:H14,"A/R")=1,"OK","Needs exactly one A")</f>
        <v/>
      </c>
      <c r="J14" s="6" t="n"/>
    </row>
    <row r="15">
      <c r="A15" s="29" t="inlineStr">
        <is>
          <t>Compliance</t>
        </is>
      </c>
      <c r="B15" s="6" t="inlineStr">
        <is>
          <t>DPDP / data-protection obligations &amp; data map</t>
        </is>
      </c>
      <c r="C15" s="4" t="inlineStr">
        <is>
          <t>R</t>
        </is>
      </c>
      <c r="D15" s="4" t="inlineStr">
        <is>
          <t>A</t>
        </is>
      </c>
      <c r="E15" s="4" t="n"/>
      <c r="F15" s="4" t="inlineStr">
        <is>
          <t>C</t>
        </is>
      </c>
      <c r="G15" s="4" t="inlineStr">
        <is>
          <t>R</t>
        </is>
      </c>
      <c r="H15" s="4" t="inlineStr">
        <is>
          <t>C</t>
        </is>
      </c>
      <c r="I15" s="49">
        <f>IF(COUNTIF(C15:H15,"A")+COUNTIF(C15:H15,"A/R")=1,"OK","Needs exactly one A")</f>
        <v/>
      </c>
      <c r="J15" s="6" t="n"/>
    </row>
    <row r="16">
      <c r="A16" s="29" t="inlineStr">
        <is>
          <t>Compliance</t>
        </is>
      </c>
      <c r="B16" s="6" t="inlineStr">
        <is>
          <t>Risk register &amp; insurance review</t>
        </is>
      </c>
      <c r="C16" s="4" t="inlineStr">
        <is>
          <t>C</t>
        </is>
      </c>
      <c r="D16" s="4" t="inlineStr">
        <is>
          <t>A/R</t>
        </is>
      </c>
      <c r="E16" s="4" t="inlineStr">
        <is>
          <t>C</t>
        </is>
      </c>
      <c r="F16" s="4" t="n"/>
      <c r="G16" s="4" t="inlineStr">
        <is>
          <t>C</t>
        </is>
      </c>
      <c r="H16" s="4" t="inlineStr">
        <is>
          <t>C</t>
        </is>
      </c>
      <c r="I16" s="49">
        <f>IF(COUNTIF(C16:H16,"A")+COUNTIF(C16:H16,"A/R")=1,"OK","Needs exactly one A")</f>
        <v/>
      </c>
      <c r="J16" s="6" t="n"/>
    </row>
    <row r="17">
      <c r="A17" s="29" t="inlineStr">
        <is>
          <t>People</t>
        </is>
      </c>
      <c r="B17" s="6" t="inlineStr">
        <is>
          <t>Hiring plan, job scorecards &amp; interviews</t>
        </is>
      </c>
      <c r="C17" s="4" t="inlineStr">
        <is>
          <t>C</t>
        </is>
      </c>
      <c r="D17" s="4" t="inlineStr">
        <is>
          <t>A/R</t>
        </is>
      </c>
      <c r="E17" s="4" t="inlineStr">
        <is>
          <t>C</t>
        </is>
      </c>
      <c r="F17" s="4" t="n"/>
      <c r="G17" s="4" t="inlineStr">
        <is>
          <t>C</t>
        </is>
      </c>
      <c r="H17" s="4" t="n"/>
      <c r="I17" s="49">
        <f>IF(COUNTIF(C17:H17,"A")+COUNTIF(C17:H17,"A/R")=1,"OK","Needs exactly one A")</f>
        <v/>
      </c>
      <c r="J17" s="6" t="n"/>
    </row>
    <row r="18">
      <c r="A18" s="29" t="inlineStr">
        <is>
          <t>People</t>
        </is>
      </c>
      <c r="B18" s="6" t="inlineStr">
        <is>
          <t>Onboarding / offboarding &amp; access provisioning</t>
        </is>
      </c>
      <c r="C18" s="4" t="inlineStr">
        <is>
          <t>R</t>
        </is>
      </c>
      <c r="D18" s="4" t="inlineStr">
        <is>
          <t>A</t>
        </is>
      </c>
      <c r="E18" s="4" t="n"/>
      <c r="F18" s="4" t="inlineStr">
        <is>
          <t>R</t>
        </is>
      </c>
      <c r="G18" s="4" t="inlineStr">
        <is>
          <t>R</t>
        </is>
      </c>
      <c r="H18" s="4" t="n"/>
      <c r="I18" s="49">
        <f>IF(COUNTIF(C18:H18,"A")+COUNTIF(C18:H18,"A/R")=1,"OK","Needs exactly one A")</f>
        <v/>
      </c>
      <c r="J18" s="6" t="n"/>
    </row>
    <row r="19">
      <c r="A19" s="29" t="inlineStr">
        <is>
          <t>People</t>
        </is>
      </c>
      <c r="B19" s="6" t="inlineStr">
        <is>
          <t>Payroll, PF/ESI/PT/TDS on salaries</t>
        </is>
      </c>
      <c r="C19" s="4" t="inlineStr">
        <is>
          <t>I</t>
        </is>
      </c>
      <c r="D19" s="4" t="inlineStr">
        <is>
          <t>A</t>
        </is>
      </c>
      <c r="E19" s="4" t="n"/>
      <c r="F19" s="4" t="n"/>
      <c r="G19" s="4" t="n"/>
      <c r="H19" s="4" t="inlineStr">
        <is>
          <t>R</t>
        </is>
      </c>
      <c r="I19" s="49">
        <f>IF(COUNTIF(C19:H19,"A")+COUNTIF(C19:H19,"A/R")=1,"OK","Needs exactly one A")</f>
        <v/>
      </c>
      <c r="J19" s="6" t="n"/>
    </row>
    <row r="20">
      <c r="A20" s="29" t="inlineStr">
        <is>
          <t>People</t>
        </is>
      </c>
      <c r="B20" s="6" t="inlineStr">
        <is>
          <t>Policies (POSH, leave, expenses, IT/security) &amp; handbook</t>
        </is>
      </c>
      <c r="C20" s="4" t="inlineStr">
        <is>
          <t>C</t>
        </is>
      </c>
      <c r="D20" s="4" t="inlineStr">
        <is>
          <t>A/R</t>
        </is>
      </c>
      <c r="E20" s="4" t="inlineStr">
        <is>
          <t>C</t>
        </is>
      </c>
      <c r="F20" s="4" t="inlineStr">
        <is>
          <t>I</t>
        </is>
      </c>
      <c r="G20" s="4" t="inlineStr">
        <is>
          <t>I</t>
        </is>
      </c>
      <c r="H20" s="4" t="inlineStr">
        <is>
          <t>C</t>
        </is>
      </c>
      <c r="I20" s="49">
        <f>IF(COUNTIF(C20:H20,"A")+COUNTIF(C20:H20,"A/R")=1,"OK","Needs exactly one A")</f>
        <v/>
      </c>
      <c r="J20" s="6" t="n"/>
    </row>
    <row r="21">
      <c r="A21" s="29" t="inlineStr">
        <is>
          <t>Customer</t>
        </is>
      </c>
      <c r="B21" s="6" t="inlineStr">
        <is>
          <t>Dealer onboarding to activation (first invoice in 14 days)</t>
        </is>
      </c>
      <c r="C21" s="4" t="inlineStr">
        <is>
          <t>I</t>
        </is>
      </c>
      <c r="D21" s="4" t="inlineStr">
        <is>
          <t>A</t>
        </is>
      </c>
      <c r="E21" s="4" t="inlineStr">
        <is>
          <t>C</t>
        </is>
      </c>
      <c r="F21" s="4" t="inlineStr">
        <is>
          <t>R</t>
        </is>
      </c>
      <c r="G21" s="4" t="inlineStr">
        <is>
          <t>C</t>
        </is>
      </c>
      <c r="H21" s="4" t="n"/>
      <c r="I21" s="49">
        <f>IF(COUNTIF(C21:H21,"A")+COUNTIF(C21:H21,"A/R")=1,"OK","Needs exactly one A")</f>
        <v/>
      </c>
      <c r="J21" s="6" t="n"/>
    </row>
    <row r="22">
      <c r="A22" s="29" t="inlineStr">
        <is>
          <t>Customer</t>
        </is>
      </c>
      <c r="B22" s="6" t="inlineStr">
        <is>
          <t>Support tickets, SLA &amp; knowledge base</t>
        </is>
      </c>
      <c r="C22" s="4" t="inlineStr">
        <is>
          <t>C</t>
        </is>
      </c>
      <c r="D22" s="4" t="inlineStr">
        <is>
          <t>A</t>
        </is>
      </c>
      <c r="E22" s="4" t="n"/>
      <c r="F22" s="4" t="inlineStr">
        <is>
          <t>R</t>
        </is>
      </c>
      <c r="G22" s="4" t="inlineStr">
        <is>
          <t>C</t>
        </is>
      </c>
      <c r="H22" s="4" t="n"/>
      <c r="I22" s="49">
        <f>IF(COUNTIF(C22:H22,"A")+COUNTIF(C22:H22,"A/R")=1,"OK","Needs exactly one A")</f>
        <v/>
      </c>
      <c r="J22" s="6" t="n"/>
    </row>
    <row r="23">
      <c r="A23" s="29" t="inlineStr">
        <is>
          <t>Customer</t>
        </is>
      </c>
      <c r="B23" s="6" t="inlineStr">
        <is>
          <t>Incident comms to dealers (WhatsApp broadcast)</t>
        </is>
      </c>
      <c r="C23" s="4" t="inlineStr">
        <is>
          <t>C</t>
        </is>
      </c>
      <c r="D23" s="4" t="inlineStr">
        <is>
          <t>A</t>
        </is>
      </c>
      <c r="E23" s="4" t="inlineStr">
        <is>
          <t>I</t>
        </is>
      </c>
      <c r="F23" s="4" t="inlineStr">
        <is>
          <t>R</t>
        </is>
      </c>
      <c r="G23" s="4" t="inlineStr">
        <is>
          <t>C</t>
        </is>
      </c>
      <c r="H23" s="4" t="n"/>
      <c r="I23" s="49">
        <f>IF(COUNTIF(C23:H23,"A")+COUNTIF(C23:H23,"A/R")=1,"OK","Needs exactly one A")</f>
        <v/>
      </c>
      <c r="J23" s="6" t="n"/>
    </row>
    <row r="24">
      <c r="A24" s="29" t="inlineStr">
        <is>
          <t>Customer</t>
        </is>
      </c>
      <c r="B24" s="6" t="inlineStr">
        <is>
          <t>Monthly tenant health &amp; churn-risk review</t>
        </is>
      </c>
      <c r="C24" s="4" t="inlineStr">
        <is>
          <t>I</t>
        </is>
      </c>
      <c r="D24" s="4" t="inlineStr">
        <is>
          <t>A/R</t>
        </is>
      </c>
      <c r="E24" s="4" t="inlineStr">
        <is>
          <t>C</t>
        </is>
      </c>
      <c r="F24" s="4" t="inlineStr">
        <is>
          <t>R</t>
        </is>
      </c>
      <c r="G24" s="4" t="n"/>
      <c r="H24" s="4" t="n"/>
      <c r="I24" s="49">
        <f>IF(COUNTIF(C24:H24,"A")+COUNTIF(C24:H24,"A/R")=1,"OK","Needs exactly one A")</f>
        <v/>
      </c>
      <c r="J24" s="6" t="n"/>
    </row>
    <row r="25">
      <c r="A25" s="29" t="inlineStr">
        <is>
          <t>Revenue</t>
        </is>
      </c>
      <c r="B25" s="6" t="inlineStr">
        <is>
          <t>Pipeline review &amp; follow-ups (lead → demo → pilot → paid)</t>
        </is>
      </c>
      <c r="C25" s="4" t="inlineStr">
        <is>
          <t>C</t>
        </is>
      </c>
      <c r="D25" s="4" t="inlineStr">
        <is>
          <t>A</t>
        </is>
      </c>
      <c r="E25" s="4" t="inlineStr">
        <is>
          <t>R</t>
        </is>
      </c>
      <c r="F25" s="4" t="inlineStr">
        <is>
          <t>I</t>
        </is>
      </c>
      <c r="G25" s="4" t="n"/>
      <c r="H25" s="4" t="n"/>
      <c r="I25" s="49">
        <f>IF(COUNTIF(C25:H25,"A")+COUNTIF(C25:H25,"A/R")=1,"OK","Needs exactly one A")</f>
        <v/>
      </c>
      <c r="J25" s="6" t="n"/>
    </row>
    <row r="26">
      <c r="A26" s="29" t="inlineStr">
        <is>
          <t>Revenue</t>
        </is>
      </c>
      <c r="B26" s="6" t="inlineStr">
        <is>
          <t>Pricing, discounts &amp; contract terms</t>
        </is>
      </c>
      <c r="C26" s="4" t="inlineStr">
        <is>
          <t>A</t>
        </is>
      </c>
      <c r="D26" s="4" t="inlineStr">
        <is>
          <t>R</t>
        </is>
      </c>
      <c r="E26" s="4" t="inlineStr">
        <is>
          <t>C</t>
        </is>
      </c>
      <c r="F26" s="4" t="n"/>
      <c r="G26" s="4" t="n"/>
      <c r="H26" s="4" t="n"/>
      <c r="I26" s="49">
        <f>IF(COUNTIF(C26:H26,"A")+COUNTIF(C26:H26,"A/R")=1,"OK","Needs exactly one A")</f>
        <v/>
      </c>
      <c r="J26" s="6" t="n"/>
    </row>
    <row r="27">
      <c r="A27" s="29" t="inlineStr">
        <is>
          <t>Revenue</t>
        </is>
      </c>
      <c r="B27" s="6" t="inlineStr">
        <is>
          <t>Partnership conversations (IOCL, bank / payment gateway)</t>
        </is>
      </c>
      <c r="C27" s="4" t="inlineStr">
        <is>
          <t>A</t>
        </is>
      </c>
      <c r="D27" s="4" t="inlineStr">
        <is>
          <t>C</t>
        </is>
      </c>
      <c r="E27" s="4" t="inlineStr">
        <is>
          <t>R</t>
        </is>
      </c>
      <c r="F27" s="4" t="n"/>
      <c r="G27" s="4" t="n"/>
      <c r="H27" s="4" t="n"/>
      <c r="I27" s="49">
        <f>IF(COUNTIF(C27:H27,"A")+COUNTIF(C27:H27,"A/R")=1,"OK","Needs exactly one A")</f>
        <v/>
      </c>
      <c r="J27" s="6" t="n"/>
    </row>
    <row r="28">
      <c r="A28" s="29" t="inlineStr">
        <is>
          <t>Revenue</t>
        </is>
      </c>
      <c r="B28" s="6" t="inlineStr">
        <is>
          <t>Invoicing, collections &amp; dunning</t>
        </is>
      </c>
      <c r="C28" s="4" t="inlineStr">
        <is>
          <t>I</t>
        </is>
      </c>
      <c r="D28" s="4" t="inlineStr">
        <is>
          <t>A</t>
        </is>
      </c>
      <c r="E28" s="4" t="inlineStr">
        <is>
          <t>C</t>
        </is>
      </c>
      <c r="F28" s="4" t="inlineStr">
        <is>
          <t>R</t>
        </is>
      </c>
      <c r="G28" s="4" t="n"/>
      <c r="H28" s="4" t="inlineStr">
        <is>
          <t>I</t>
        </is>
      </c>
      <c r="I28" s="49">
        <f>IF(COUNTIF(C28:H28,"A")+COUNTIF(C28:H28,"A/R")=1,"OK","Needs exactly one A")</f>
        <v/>
      </c>
      <c r="J28" s="6" t="n"/>
    </row>
    <row r="29">
      <c r="A29" s="29" t="inlineStr">
        <is>
          <t>Product &amp; engineering</t>
        </is>
      </c>
      <c r="B29" s="6" t="inlineStr">
        <is>
          <t>Product roadmap &amp; quarterly themes</t>
        </is>
      </c>
      <c r="C29" s="4" t="inlineStr">
        <is>
          <t>A/R</t>
        </is>
      </c>
      <c r="D29" s="4" t="inlineStr">
        <is>
          <t>C</t>
        </is>
      </c>
      <c r="E29" s="4" t="inlineStr">
        <is>
          <t>C</t>
        </is>
      </c>
      <c r="F29" s="4" t="inlineStr">
        <is>
          <t>C</t>
        </is>
      </c>
      <c r="G29" s="4" t="inlineStr">
        <is>
          <t>C</t>
        </is>
      </c>
      <c r="H29" s="4" t="n"/>
      <c r="I29" s="49">
        <f>IF(COUNTIF(C29:H29,"A")+COUNTIF(C29:H29,"A/R")=1,"OK","Needs exactly one A")</f>
        <v/>
      </c>
      <c r="J29" s="6" t="n"/>
    </row>
    <row r="30">
      <c r="A30" s="29" t="inlineStr">
        <is>
          <t>Product &amp; engineering</t>
        </is>
      </c>
      <c r="B30" s="6" t="inlineStr">
        <is>
          <t>Release approval &amp; production deploy (release gate)</t>
        </is>
      </c>
      <c r="C30" s="4" t="inlineStr">
        <is>
          <t>A</t>
        </is>
      </c>
      <c r="D30" s="4" t="inlineStr">
        <is>
          <t>I</t>
        </is>
      </c>
      <c r="E30" s="4" t="n"/>
      <c r="F30" s="4" t="inlineStr">
        <is>
          <t>I</t>
        </is>
      </c>
      <c r="G30" s="4" t="inlineStr">
        <is>
          <t>R</t>
        </is>
      </c>
      <c r="H30" s="4" t="n"/>
      <c r="I30" s="49">
        <f>IF(COUNTIF(C30:H30,"A")+COUNTIF(C30:H30,"A/R")=1,"OK","Needs exactly one A")</f>
        <v/>
      </c>
      <c r="J30" s="6" t="n"/>
    </row>
    <row r="31">
      <c r="A31" s="29" t="inlineStr">
        <is>
          <t>Product &amp; engineering</t>
        </is>
      </c>
      <c r="B31" s="6" t="inlineStr">
        <is>
          <t>Incident response, on-call &amp; blameless postmortem</t>
        </is>
      </c>
      <c r="C31" s="4" t="inlineStr">
        <is>
          <t>A</t>
        </is>
      </c>
      <c r="D31" s="4" t="inlineStr">
        <is>
          <t>C</t>
        </is>
      </c>
      <c r="E31" s="4" t="n"/>
      <c r="F31" s="4" t="inlineStr">
        <is>
          <t>C</t>
        </is>
      </c>
      <c r="G31" s="4" t="inlineStr">
        <is>
          <t>R</t>
        </is>
      </c>
      <c r="H31" s="4" t="n"/>
      <c r="I31" s="49">
        <f>IF(COUNTIF(C31:H31,"A")+COUNTIF(C31:H31,"A/R")=1,"OK","Needs exactly one A")</f>
        <v/>
      </c>
      <c r="J31" s="6" t="n"/>
    </row>
    <row r="32">
      <c r="A32" s="29" t="inlineStr">
        <is>
          <t>Product &amp; engineering</t>
        </is>
      </c>
      <c r="B32" s="6" t="inlineStr">
        <is>
          <t>Backups, restore drill &amp; secrets/access hygiene</t>
        </is>
      </c>
      <c r="C32" s="4" t="inlineStr">
        <is>
          <t>A</t>
        </is>
      </c>
      <c r="D32" s="4" t="inlineStr">
        <is>
          <t>C</t>
        </is>
      </c>
      <c r="E32" s="4" t="n"/>
      <c r="F32" s="4" t="n"/>
      <c r="G32" s="4" t="inlineStr">
        <is>
          <t>R</t>
        </is>
      </c>
      <c r="H32" s="4" t="n"/>
      <c r="I32" s="49">
        <f>IF(COUNTIF(C32:H32,"A")+COUNTIF(C32:H32,"A/R")=1,"OK","Needs exactly one A")</f>
        <v/>
      </c>
      <c r="J32" s="6" t="n"/>
    </row>
    <row r="33">
      <c r="A33" s="29" t="inlineStr">
        <is>
          <t>Operations</t>
        </is>
      </c>
      <c r="B33" s="6" t="inlineStr">
        <is>
          <t>Vendor onboarding, renewals &amp; quarterly tool audit</t>
        </is>
      </c>
      <c r="C33" s="4" t="inlineStr">
        <is>
          <t>I</t>
        </is>
      </c>
      <c r="D33" s="4" t="inlineStr">
        <is>
          <t>A</t>
        </is>
      </c>
      <c r="E33" s="4" t="n"/>
      <c r="F33" s="4" t="inlineStr">
        <is>
          <t>R</t>
        </is>
      </c>
      <c r="G33" s="4" t="inlineStr">
        <is>
          <t>C</t>
        </is>
      </c>
      <c r="H33" s="4" t="n"/>
      <c r="I33" s="49">
        <f>IF(COUNTIF(C33:H33,"A")+COUNTIF(C33:H33,"A/R")=1,"OK","Needs exactly one A")</f>
        <v/>
      </c>
      <c r="J33" s="6" t="n"/>
    </row>
    <row r="34">
      <c r="A34" s="29" t="inlineStr">
        <is>
          <t>Operations</t>
        </is>
      </c>
      <c r="B34" s="6" t="inlineStr">
        <is>
          <t>SOP writing, review &amp; training sign-off</t>
        </is>
      </c>
      <c r="C34" s="4" t="inlineStr">
        <is>
          <t>C</t>
        </is>
      </c>
      <c r="D34" s="4" t="inlineStr">
        <is>
          <t>A</t>
        </is>
      </c>
      <c r="E34" s="4" t="inlineStr">
        <is>
          <t>R</t>
        </is>
      </c>
      <c r="F34" s="4" t="inlineStr">
        <is>
          <t>R</t>
        </is>
      </c>
      <c r="G34" s="4" t="inlineStr">
        <is>
          <t>R</t>
        </is>
      </c>
      <c r="H34" s="4" t="n"/>
      <c r="I34" s="49">
        <f>IF(COUNTIF(C34:H34,"A")+COUNTIF(C34:H34,"A/R")=1,"OK","Needs exactly one A")</f>
        <v/>
      </c>
      <c r="J34" s="6" t="n"/>
    </row>
    <row r="35">
      <c r="A35" s="19" t="n"/>
      <c r="B35" s="6" t="n"/>
      <c r="C35" s="4" t="n"/>
      <c r="D35" s="4" t="n"/>
      <c r="E35" s="4" t="n"/>
      <c r="F35" s="4" t="n"/>
      <c r="G35" s="4" t="n"/>
      <c r="H35" s="4" t="n"/>
      <c r="I35" s="49">
        <f>IF(COUNTA(C35:H35)=0,"",IF(COUNTIF(C35:H35,"A")+COUNTIF(C35:H35,"A/R")=1,"OK","Needs exactly one A"))</f>
        <v/>
      </c>
      <c r="J35" s="6" t="n"/>
    </row>
    <row r="36">
      <c r="A36" s="19" t="n"/>
      <c r="B36" s="6" t="n"/>
      <c r="C36" s="4" t="n"/>
      <c r="D36" s="4" t="n"/>
      <c r="E36" s="4" t="n"/>
      <c r="F36" s="4" t="n"/>
      <c r="G36" s="4" t="n"/>
      <c r="H36" s="4" t="n"/>
      <c r="I36" s="49">
        <f>IF(COUNTA(C36:H36)=0,"",IF(COUNTIF(C36:H36,"A")+COUNTIF(C36:H36,"A/R")=1,"OK","Needs exactly one A"))</f>
        <v/>
      </c>
      <c r="J36" s="6" t="n"/>
    </row>
    <row r="37">
      <c r="A37" s="19" t="n"/>
      <c r="B37" s="6" t="n"/>
      <c r="C37" s="4" t="n"/>
      <c r="D37" s="4" t="n"/>
      <c r="E37" s="4" t="n"/>
      <c r="F37" s="4" t="n"/>
      <c r="G37" s="4" t="n"/>
      <c r="H37" s="4" t="n"/>
      <c r="I37" s="49">
        <f>IF(COUNTA(C37:H37)=0,"",IF(COUNTIF(C37:H37,"A")+COUNTIF(C37:H37,"A/R")=1,"OK","Needs exactly one A"))</f>
        <v/>
      </c>
      <c r="J37" s="6" t="n"/>
    </row>
    <row r="38">
      <c r="A38" s="19" t="n"/>
      <c r="B38" s="6" t="n"/>
      <c r="C38" s="4" t="n"/>
      <c r="D38" s="4" t="n"/>
      <c r="E38" s="4" t="n"/>
      <c r="F38" s="4" t="n"/>
      <c r="G38" s="4" t="n"/>
      <c r="H38" s="4" t="n"/>
      <c r="I38" s="49">
        <f>IF(COUNTA(C38:H38)=0,"",IF(COUNTIF(C38:H38,"A")+COUNTIF(C38:H38,"A/R")=1,"OK","Needs exactly one A"))</f>
        <v/>
      </c>
      <c r="J38" s="6" t="n"/>
    </row>
    <row r="39">
      <c r="A39" s="19" t="n"/>
      <c r="B39" s="6" t="n"/>
      <c r="C39" s="4" t="n"/>
      <c r="D39" s="4" t="n"/>
      <c r="E39" s="4" t="n"/>
      <c r="F39" s="4" t="n"/>
      <c r="G39" s="4" t="n"/>
      <c r="H39" s="4" t="n"/>
      <c r="I39" s="49">
        <f>IF(COUNTA(C39:H39)=0,"",IF(COUNTIF(C39:H39,"A")+COUNTIF(C39:H39,"A/R")=1,"OK","Needs exactly one A"))</f>
        <v/>
      </c>
      <c r="J39" s="6" t="n"/>
    </row>
    <row r="40">
      <c r="A40" s="19" t="n"/>
      <c r="B40" s="6" t="n"/>
      <c r="C40" s="4" t="n"/>
      <c r="D40" s="4" t="n"/>
      <c r="E40" s="4" t="n"/>
      <c r="F40" s="4" t="n"/>
      <c r="G40" s="4" t="n"/>
      <c r="H40" s="4" t="n"/>
      <c r="I40" s="49">
        <f>IF(COUNTA(C40:H40)=0,"",IF(COUNTIF(C40:H40,"A")+COUNTIF(C40:H40,"A/R")=1,"OK","Needs exactly one A"))</f>
        <v/>
      </c>
      <c r="J40" s="6" t="n"/>
    </row>
    <row r="41">
      <c r="A41" s="19" t="n"/>
      <c r="B41" s="6" t="n"/>
      <c r="C41" s="4" t="n"/>
      <c r="D41" s="4" t="n"/>
      <c r="E41" s="4" t="n"/>
      <c r="F41" s="4" t="n"/>
      <c r="G41" s="4" t="n"/>
      <c r="H41" s="4" t="n"/>
      <c r="I41" s="49">
        <f>IF(COUNTA(C41:H41)=0,"",IF(COUNTIF(C41:H41,"A")+COUNTIF(C41:H41,"A/R")=1,"OK","Needs exactly one A"))</f>
        <v/>
      </c>
      <c r="J41" s="6" t="n"/>
    </row>
    <row r="42">
      <c r="A42" s="19" t="n"/>
      <c r="B42" s="6" t="n"/>
      <c r="C42" s="4" t="n"/>
      <c r="D42" s="4" t="n"/>
      <c r="E42" s="4" t="n"/>
      <c r="F42" s="4" t="n"/>
      <c r="G42" s="4" t="n"/>
      <c r="H42" s="4" t="n"/>
      <c r="I42" s="49">
        <f>IF(COUNTA(C42:H42)=0,"",IF(COUNTIF(C42:H42,"A")+COUNTIF(C42:H42,"A/R")=1,"OK","Needs exactly one A"))</f>
        <v/>
      </c>
      <c r="J42" s="6" t="n"/>
    </row>
    <row r="44">
      <c r="A44" s="76" t="inlineStr">
        <is>
          <t>Legend</t>
        </is>
      </c>
    </row>
    <row r="45">
      <c r="A45" s="77" t="inlineStr">
        <is>
          <t>A</t>
        </is>
      </c>
      <c r="B45" s="29" t="inlineStr">
        <is>
          <t>Accountable — owns the outcome, one per activity</t>
        </is>
      </c>
    </row>
    <row r="46">
      <c r="A46" s="77" t="inlineStr">
        <is>
          <t>R</t>
        </is>
      </c>
      <c r="B46" s="29" t="inlineStr">
        <is>
          <t>Responsible — does the work</t>
        </is>
      </c>
    </row>
    <row r="47">
      <c r="A47" s="77" t="inlineStr">
        <is>
          <t>C</t>
        </is>
      </c>
      <c r="B47" s="29" t="inlineStr">
        <is>
          <t>Consulted — two-way input before the decision</t>
        </is>
      </c>
    </row>
    <row r="48">
      <c r="A48" s="77" t="inlineStr">
        <is>
          <t>I</t>
        </is>
      </c>
      <c r="B48" s="29" t="inlineStr">
        <is>
          <t>Informed — told after</t>
        </is>
      </c>
    </row>
    <row r="49">
      <c r="A49" s="77" t="inlineStr">
        <is>
          <t>A/R</t>
        </is>
      </c>
      <c r="B49" s="29" t="inlineStr">
        <is>
          <t>Accountable and does it (small-team reality)</t>
        </is>
      </c>
    </row>
  </sheetData>
  <mergeCells count="2">
    <mergeCell ref="A2:H2"/>
    <mergeCell ref="A1:H1"/>
  </mergeCells>
  <conditionalFormatting sqref="C5:H42">
    <cfRule type="cellIs" priority="1" operator="equal" dxfId="4">
      <formula>"A"</formula>
    </cfRule>
    <cfRule type="cellIs" priority="2" operator="equal" dxfId="4">
      <formula>"A/R"</formula>
    </cfRule>
    <cfRule type="cellIs" priority="3" operator="equal" dxfId="1">
      <formula>"R"</formula>
    </cfRule>
    <cfRule type="cellIs" priority="4" operator="equal" dxfId="2">
      <formula>"C"</formula>
    </cfRule>
    <cfRule type="cellIs" priority="5" operator="equal" dxfId="5">
      <formula>"I"</formula>
    </cfRule>
  </conditionalFormatting>
  <conditionalFormatting sqref="I5:I42">
    <cfRule type="cellIs" priority="6" operator="equal" dxfId="1">
      <formula>"OK"</formula>
    </cfRule>
    <cfRule type="cellIs" priority="7" operator="equal" dxfId="0">
      <formula>"Needs exactly one A"</formula>
    </cfRule>
  </conditionalFormatting>
  <dataValidations count="1">
    <dataValidation sqref="C5:H42" showDropDown="0" showInputMessage="0" showErrorMessage="1" allowBlank="1" errorTitle="Pick from list" error="Please pick a value from the dropdown." type="list">
      <formula1>"A,R,A/R,C,I"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C3AED"/>
    <outlinePr summaryBelow="1" summaryRight="1"/>
    <pageSetUpPr/>
  </sheetPr>
  <dimension ref="A1:N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3" customWidth="1" min="4" max="4"/>
    <col width="22" customWidth="1" min="5" max="5"/>
    <col width="11" customWidth="1" min="6" max="6"/>
    <col width="32" customWidth="1" min="7" max="7"/>
    <col width="13" customWidth="1" min="8" max="8"/>
    <col width="11" customWidth="1" min="9" max="9"/>
    <col width="11" customWidth="1" min="10" max="10"/>
    <col width="34" customWidth="1" min="11" max="11"/>
    <col width="3" customWidth="1" min="12" max="12"/>
    <col width="14" customWidth="1" min="13" max="13"/>
    <col width="8" customWidth="1" min="14" max="14"/>
  </cols>
  <sheetData>
    <row r="1" ht="23" customHeight="1">
      <c r="A1" s="1" t="inlineStr">
        <is>
          <t>Hiring Pipeline — one row per candidate per role: source, stage, interviewer, scorecard average (1–4), next step and decision (T10 process).</t>
        </is>
      </c>
    </row>
    <row r="2" ht="30" customHeight="1">
      <c r="A2" s="2" t="inlineStr">
        <is>
          <t>Example rows (grey italic) are illustrative — replace with real data. Yellow = input, blue = formula (do not overwrite). Use 'Candidate A/B/C' style codes on shared sheets; keep personal data in the ATS/inbox, not here.</t>
        </is>
      </c>
    </row>
    <row r="4" ht="32" customHeight="1">
      <c r="A4" s="3" t="inlineStr">
        <is>
          <t>Role</t>
        </is>
      </c>
      <c r="B4" s="3" t="inlineStr">
        <is>
          <t>Candidate</t>
        </is>
      </c>
      <c r="C4" s="3" t="inlineStr">
        <is>
          <t>Source</t>
        </is>
      </c>
      <c r="D4" s="3" t="inlineStr">
        <is>
          <t>Stage</t>
        </is>
      </c>
      <c r="E4" s="3" t="inlineStr">
        <is>
          <t>Interviewer(s)</t>
        </is>
      </c>
      <c r="F4" s="3" t="inlineStr">
        <is>
          <t>Scorecard avg (1–4)</t>
        </is>
      </c>
      <c r="G4" s="3" t="inlineStr">
        <is>
          <t>Next step</t>
        </is>
      </c>
      <c r="H4" s="3" t="inlineStr">
        <is>
          <t>Next-step date</t>
        </is>
      </c>
      <c r="I4" s="3" t="inlineStr">
        <is>
          <t>Days to next step</t>
        </is>
      </c>
      <c r="J4" s="3" t="inlineStr">
        <is>
          <t>Decision</t>
        </is>
      </c>
      <c r="K4" s="3" t="inlineStr">
        <is>
          <t>Notes</t>
        </is>
      </c>
      <c r="M4" s="3" t="inlineStr">
        <is>
          <t>Stage</t>
        </is>
      </c>
      <c r="N4" s="3" t="inlineStr">
        <is>
          <t>Count</t>
        </is>
      </c>
    </row>
    <row r="5">
      <c r="A5" s="56" t="inlineStr">
        <is>
          <t>Support / Ops Associate (Raipur)</t>
        </is>
      </c>
      <c r="B5" s="14" t="inlineStr">
        <is>
          <t>Candidate A</t>
        </is>
      </c>
      <c r="C5" s="14" t="inlineStr">
        <is>
          <t>Referral</t>
        </is>
      </c>
      <c r="D5" s="14" t="inlineStr">
        <is>
          <t>Interview 1</t>
        </is>
      </c>
      <c r="E5" s="56" t="inlineStr">
        <is>
          <t>COO, Support/Ops</t>
        </is>
      </c>
      <c r="F5" s="78" t="n">
        <v>3.2</v>
      </c>
      <c r="G5" s="56" t="inlineStr">
        <is>
          <t>Work sample: handle 5 sample WhatsApp tickets + write one FAQ</t>
        </is>
      </c>
      <c r="H5" s="31" t="n">
        <v>46260</v>
      </c>
      <c r="I5" s="79">
        <f>IF(H5="","",H5-TODAY())</f>
        <v/>
      </c>
      <c r="J5" s="14" t="inlineStr">
        <is>
          <t>Pending</t>
        </is>
      </c>
      <c r="K5" s="56" t="inlineStr">
        <is>
          <t>Hindi + Chhattisgarhi; ex-petrol-pump cashier — knows dealer reality</t>
        </is>
      </c>
      <c r="M5" s="29" t="inlineStr">
        <is>
          <t>Sourced</t>
        </is>
      </c>
      <c r="N5" s="80">
        <f>COUNTIF(D5:D24,"Sourced")</f>
        <v/>
      </c>
    </row>
    <row r="6">
      <c r="A6" s="56" t="inlineStr">
        <is>
          <t>Field Sales Executive (Raipur district)</t>
        </is>
      </c>
      <c r="B6" s="14" t="inlineStr">
        <is>
          <t>Candidate B</t>
        </is>
      </c>
      <c r="C6" s="14" t="inlineStr">
        <is>
          <t>Naukri</t>
        </is>
      </c>
      <c r="D6" s="14" t="inlineStr">
        <is>
          <t>Screened</t>
        </is>
      </c>
      <c r="E6" s="56" t="inlineStr">
        <is>
          <t>Domain director</t>
        </is>
      </c>
      <c r="F6" s="78" t="n"/>
      <c r="G6" s="56" t="inlineStr">
        <is>
          <t>Schedule Interview 1 (values + sales walk-through)</t>
        </is>
      </c>
      <c r="H6" s="31" t="n">
        <v>46258</v>
      </c>
      <c r="I6" s="79">
        <f>IF(H6="","",H6-TODAY())</f>
        <v/>
      </c>
      <c r="J6" s="14" t="inlineStr">
        <is>
          <t>Pending</t>
        </is>
      </c>
      <c r="K6" s="56" t="inlineStr">
        <is>
          <t>3 yrs lubricant distribution sales</t>
        </is>
      </c>
      <c r="M6" s="29" t="inlineStr">
        <is>
          <t>Screened</t>
        </is>
      </c>
      <c r="N6" s="80">
        <f>COUNTIF(D5:D24,"Screened")</f>
        <v/>
      </c>
    </row>
    <row r="7">
      <c r="A7" s="56" t="inlineStr">
        <is>
          <t>React Native Developer (contract, 3 months)</t>
        </is>
      </c>
      <c r="B7" s="14" t="inlineStr">
        <is>
          <t>Candidate C</t>
        </is>
      </c>
      <c r="C7" s="14" t="inlineStr">
        <is>
          <t>Wellfound</t>
        </is>
      </c>
      <c r="D7" s="14" t="inlineStr">
        <is>
          <t>Work sample</t>
        </is>
      </c>
      <c r="E7" s="56" t="inlineStr">
        <is>
          <t>CEO/CTO, Developer</t>
        </is>
      </c>
      <c r="F7" s="78" t="n">
        <v>3.5</v>
      </c>
      <c r="G7" s="56" t="inlineStr">
        <is>
          <t>Review take-home PR (invoice screen bug + test); decide by Friday</t>
        </is>
      </c>
      <c r="H7" s="31" t="n">
        <v>46262</v>
      </c>
      <c r="I7" s="79">
        <f>IF(H7="","",H7-TODAY())</f>
        <v/>
      </c>
      <c r="J7" s="14" t="inlineStr">
        <is>
          <t>Pending</t>
        </is>
      </c>
      <c r="K7" s="56" t="inlineStr">
        <is>
          <t>Contractor first; IP assignment clause in T11</t>
        </is>
      </c>
      <c r="M7" s="29" t="inlineStr">
        <is>
          <t>Interview 1</t>
        </is>
      </c>
      <c r="N7" s="80">
        <f>COUNTIF(D5:D24,"Interview 1")</f>
        <v/>
      </c>
    </row>
    <row r="8">
      <c r="A8" s="6" t="n"/>
      <c r="B8" s="19" t="n"/>
      <c r="C8" s="19" t="n"/>
      <c r="D8" s="19" t="n"/>
      <c r="E8" s="6" t="n"/>
      <c r="F8" s="81" t="n"/>
      <c r="G8" s="6" t="n"/>
      <c r="H8" s="63" t="n"/>
      <c r="I8" s="62">
        <f>IF(H8="","",H8-TODAY())</f>
        <v/>
      </c>
      <c r="J8" s="19" t="n"/>
      <c r="K8" s="6" t="n"/>
      <c r="M8" s="29" t="inlineStr">
        <is>
          <t>Work sample</t>
        </is>
      </c>
      <c r="N8" s="80">
        <f>COUNTIF(D5:D24,"Work sample")</f>
        <v/>
      </c>
    </row>
    <row r="9">
      <c r="A9" s="6" t="n"/>
      <c r="B9" s="19" t="n"/>
      <c r="C9" s="19" t="n"/>
      <c r="D9" s="19" t="n"/>
      <c r="E9" s="6" t="n"/>
      <c r="F9" s="81" t="n"/>
      <c r="G9" s="6" t="n"/>
      <c r="H9" s="63" t="n"/>
      <c r="I9" s="62">
        <f>IF(H9="","",H9-TODAY())</f>
        <v/>
      </c>
      <c r="J9" s="19" t="n"/>
      <c r="K9" s="6" t="n"/>
      <c r="M9" s="29" t="inlineStr">
        <is>
          <t>Interview 2</t>
        </is>
      </c>
      <c r="N9" s="80">
        <f>COUNTIF(D5:D24,"Interview 2")</f>
        <v/>
      </c>
    </row>
    <row r="10">
      <c r="A10" s="6" t="n"/>
      <c r="B10" s="19" t="n"/>
      <c r="C10" s="19" t="n"/>
      <c r="D10" s="19" t="n"/>
      <c r="E10" s="6" t="n"/>
      <c r="F10" s="81" t="n"/>
      <c r="G10" s="6" t="n"/>
      <c r="H10" s="63" t="n"/>
      <c r="I10" s="62">
        <f>IF(H10="","",H10-TODAY())</f>
        <v/>
      </c>
      <c r="J10" s="19" t="n"/>
      <c r="K10" s="6" t="n"/>
      <c r="M10" s="29" t="inlineStr">
        <is>
          <t>References</t>
        </is>
      </c>
      <c r="N10" s="80">
        <f>COUNTIF(D5:D24,"References")</f>
        <v/>
      </c>
    </row>
    <row r="11">
      <c r="A11" s="6" t="n"/>
      <c r="B11" s="19" t="n"/>
      <c r="C11" s="19" t="n"/>
      <c r="D11" s="19" t="n"/>
      <c r="E11" s="6" t="n"/>
      <c r="F11" s="81" t="n"/>
      <c r="G11" s="6" t="n"/>
      <c r="H11" s="63" t="n"/>
      <c r="I11" s="62">
        <f>IF(H11="","",H11-TODAY())</f>
        <v/>
      </c>
      <c r="J11" s="19" t="n"/>
      <c r="K11" s="6" t="n"/>
      <c r="M11" s="29" t="inlineStr">
        <is>
          <t>Offer</t>
        </is>
      </c>
      <c r="N11" s="80">
        <f>COUNTIF(D5:D24,"Offer")</f>
        <v/>
      </c>
    </row>
    <row r="12">
      <c r="A12" s="6" t="n"/>
      <c r="B12" s="19" t="n"/>
      <c r="C12" s="19" t="n"/>
      <c r="D12" s="19" t="n"/>
      <c r="E12" s="6" t="n"/>
      <c r="F12" s="81" t="n"/>
      <c r="G12" s="6" t="n"/>
      <c r="H12" s="63" t="n"/>
      <c r="I12" s="62">
        <f>IF(H12="","",H12-TODAY())</f>
        <v/>
      </c>
      <c r="J12" s="19" t="n"/>
      <c r="K12" s="6" t="n"/>
      <c r="M12" s="29" t="inlineStr">
        <is>
          <t>Hired</t>
        </is>
      </c>
      <c r="N12" s="80">
        <f>COUNTIF(D5:D24,"Hired")</f>
        <v/>
      </c>
    </row>
    <row r="13">
      <c r="A13" s="6" t="n"/>
      <c r="B13" s="19" t="n"/>
      <c r="C13" s="19" t="n"/>
      <c r="D13" s="19" t="n"/>
      <c r="E13" s="6" t="n"/>
      <c r="F13" s="81" t="n"/>
      <c r="G13" s="6" t="n"/>
      <c r="H13" s="63" t="n"/>
      <c r="I13" s="62">
        <f>IF(H13="","",H13-TODAY())</f>
        <v/>
      </c>
      <c r="J13" s="19" t="n"/>
      <c r="K13" s="6" t="n"/>
      <c r="M13" s="29" t="inlineStr">
        <is>
          <t>Rejected</t>
        </is>
      </c>
      <c r="N13" s="80">
        <f>COUNTIF(D5:D24,"Rejected")</f>
        <v/>
      </c>
    </row>
    <row r="14">
      <c r="A14" s="6" t="n"/>
      <c r="B14" s="19" t="n"/>
      <c r="C14" s="19" t="n"/>
      <c r="D14" s="19" t="n"/>
      <c r="E14" s="6" t="n"/>
      <c r="F14" s="81" t="n"/>
      <c r="G14" s="6" t="n"/>
      <c r="H14" s="63" t="n"/>
      <c r="I14" s="62">
        <f>IF(H14="","",H14-TODAY())</f>
        <v/>
      </c>
      <c r="J14" s="19" t="n"/>
      <c r="K14" s="6" t="n"/>
      <c r="M14" s="29" t="inlineStr">
        <is>
          <t>Withdrawn</t>
        </is>
      </c>
      <c r="N14" s="80">
        <f>COUNTIF(D5:D24,"Withdrawn")</f>
        <v/>
      </c>
    </row>
    <row r="15">
      <c r="A15" s="6" t="n"/>
      <c r="B15" s="19" t="n"/>
      <c r="C15" s="19" t="n"/>
      <c r="D15" s="19" t="n"/>
      <c r="E15" s="6" t="n"/>
      <c r="F15" s="81" t="n"/>
      <c r="G15" s="6" t="n"/>
      <c r="H15" s="63" t="n"/>
      <c r="I15" s="62">
        <f>IF(H15="","",H15-TODAY())</f>
        <v/>
      </c>
      <c r="J15" s="19" t="n"/>
      <c r="K15" s="6" t="n"/>
      <c r="M15" s="38" t="inlineStr">
        <is>
          <t>Total</t>
        </is>
      </c>
      <c r="N15" s="74">
        <f>SUM(N5:N14)</f>
        <v/>
      </c>
    </row>
    <row r="16">
      <c r="A16" s="6" t="n"/>
      <c r="B16" s="19" t="n"/>
      <c r="C16" s="19" t="n"/>
      <c r="D16" s="19" t="n"/>
      <c r="E16" s="6" t="n"/>
      <c r="F16" s="81" t="n"/>
      <c r="G16" s="6" t="n"/>
      <c r="H16" s="63" t="n"/>
      <c r="I16" s="62">
        <f>IF(H16="","",H16-TODAY())</f>
        <v/>
      </c>
      <c r="J16" s="19" t="n"/>
      <c r="K16" s="6" t="n"/>
    </row>
    <row r="17">
      <c r="A17" s="6" t="n"/>
      <c r="B17" s="19" t="n"/>
      <c r="C17" s="19" t="n"/>
      <c r="D17" s="19" t="n"/>
      <c r="E17" s="6" t="n"/>
      <c r="F17" s="81" t="n"/>
      <c r="G17" s="6" t="n"/>
      <c r="H17" s="63" t="n"/>
      <c r="I17" s="62">
        <f>IF(H17="","",H17-TODAY())</f>
        <v/>
      </c>
      <c r="J17" s="19" t="n"/>
      <c r="K17" s="6" t="n"/>
    </row>
    <row r="18">
      <c r="A18" s="6" t="n"/>
      <c r="B18" s="19" t="n"/>
      <c r="C18" s="19" t="n"/>
      <c r="D18" s="19" t="n"/>
      <c r="E18" s="6" t="n"/>
      <c r="F18" s="81" t="n"/>
      <c r="G18" s="6" t="n"/>
      <c r="H18" s="63" t="n"/>
      <c r="I18" s="62">
        <f>IF(H18="","",H18-TODAY())</f>
        <v/>
      </c>
      <c r="J18" s="19" t="n"/>
      <c r="K18" s="6" t="n"/>
    </row>
    <row r="19">
      <c r="A19" s="6" t="n"/>
      <c r="B19" s="19" t="n"/>
      <c r="C19" s="19" t="n"/>
      <c r="D19" s="19" t="n"/>
      <c r="E19" s="6" t="n"/>
      <c r="F19" s="81" t="n"/>
      <c r="G19" s="6" t="n"/>
      <c r="H19" s="63" t="n"/>
      <c r="I19" s="62">
        <f>IF(H19="","",H19-TODAY())</f>
        <v/>
      </c>
      <c r="J19" s="19" t="n"/>
      <c r="K19" s="6" t="n"/>
    </row>
    <row r="20">
      <c r="A20" s="6" t="n"/>
      <c r="B20" s="19" t="n"/>
      <c r="C20" s="19" t="n"/>
      <c r="D20" s="19" t="n"/>
      <c r="E20" s="6" t="n"/>
      <c r="F20" s="81" t="n"/>
      <c r="G20" s="6" t="n"/>
      <c r="H20" s="63" t="n"/>
      <c r="I20" s="62">
        <f>IF(H20="","",H20-TODAY())</f>
        <v/>
      </c>
      <c r="J20" s="19" t="n"/>
      <c r="K20" s="6" t="n"/>
    </row>
    <row r="21">
      <c r="A21" s="6" t="n"/>
      <c r="B21" s="19" t="n"/>
      <c r="C21" s="19" t="n"/>
      <c r="D21" s="19" t="n"/>
      <c r="E21" s="6" t="n"/>
      <c r="F21" s="81" t="n"/>
      <c r="G21" s="6" t="n"/>
      <c r="H21" s="63" t="n"/>
      <c r="I21" s="62">
        <f>IF(H21="","",H21-TODAY())</f>
        <v/>
      </c>
      <c r="J21" s="19" t="n"/>
      <c r="K21" s="6" t="n"/>
    </row>
    <row r="22">
      <c r="A22" s="6" t="n"/>
      <c r="B22" s="19" t="n"/>
      <c r="C22" s="19" t="n"/>
      <c r="D22" s="19" t="n"/>
      <c r="E22" s="6" t="n"/>
      <c r="F22" s="81" t="n"/>
      <c r="G22" s="6" t="n"/>
      <c r="H22" s="63" t="n"/>
      <c r="I22" s="62">
        <f>IF(H22="","",H22-TODAY())</f>
        <v/>
      </c>
      <c r="J22" s="19" t="n"/>
      <c r="K22" s="6" t="n"/>
    </row>
    <row r="23">
      <c r="A23" s="6" t="n"/>
      <c r="B23" s="19" t="n"/>
      <c r="C23" s="19" t="n"/>
      <c r="D23" s="19" t="n"/>
      <c r="E23" s="6" t="n"/>
      <c r="F23" s="81" t="n"/>
      <c r="G23" s="6" t="n"/>
      <c r="H23" s="63" t="n"/>
      <c r="I23" s="62">
        <f>IF(H23="","",H23-TODAY())</f>
        <v/>
      </c>
      <c r="J23" s="19" t="n"/>
      <c r="K23" s="6" t="n"/>
    </row>
    <row r="24">
      <c r="A24" s="6" t="n"/>
      <c r="B24" s="19" t="n"/>
      <c r="C24" s="19" t="n"/>
      <c r="D24" s="19" t="n"/>
      <c r="E24" s="6" t="n"/>
      <c r="F24" s="81" t="n"/>
      <c r="G24" s="6" t="n"/>
      <c r="H24" s="63" t="n"/>
      <c r="I24" s="62">
        <f>IF(H24="","",H24-TODAY())</f>
        <v/>
      </c>
      <c r="J24" s="19" t="n"/>
      <c r="K24" s="6" t="n"/>
    </row>
  </sheetData>
  <autoFilter ref="A4:K24"/>
  <mergeCells count="2">
    <mergeCell ref="A1:I1"/>
    <mergeCell ref="A2:I2"/>
  </mergeCells>
  <conditionalFormatting sqref="I5:I24">
    <cfRule type="expression" priority="1" dxfId="0">
      <formula>IF(I5="",FALSE,I5&lt;0)</formula>
    </cfRule>
    <cfRule type="expression" priority="2" dxfId="2">
      <formula>IF(I5="",FALSE,IF(I5&lt;0,FALSE,I5&lt;=2))</formula>
    </cfRule>
  </conditionalFormatting>
  <conditionalFormatting sqref="D5:D24">
    <cfRule type="cellIs" priority="3" operator="equal" dxfId="1">
      <formula>"Hired"</formula>
    </cfRule>
    <cfRule type="cellIs" priority="4" operator="equal" dxfId="1">
      <formula>"Offer"</formula>
    </cfRule>
    <cfRule type="cellIs" priority="5" operator="equal" dxfId="5">
      <formula>"Rejected"</formula>
    </cfRule>
    <cfRule type="cellIs" priority="6" operator="equal" dxfId="5">
      <formula>"Withdrawn"</formula>
    </cfRule>
  </conditionalFormatting>
  <conditionalFormatting sqref="J5:J24">
    <cfRule type="cellIs" priority="7" operator="equal" dxfId="1">
      <formula>"Hire"</formula>
    </cfRule>
    <cfRule type="cellIs" priority="8" operator="equal" dxfId="0">
      <formula>"No hire"</formula>
    </cfRule>
  </conditionalFormatting>
  <dataValidations count="4">
    <dataValidation sqref="C5:C24" showDropDown="0" showInputMessage="0" showErrorMessage="1" allowBlank="1" errorTitle="Pick from list" error="Please pick a value from the dropdown." type="list">
      <formula1>"Referral,LinkedIn,Naukri,Internshala,Wellfound,College,Inbound,Agency,Other"</formula1>
    </dataValidation>
    <dataValidation sqref="D5:D24" showDropDown="0" showInputMessage="0" showErrorMessage="1" allowBlank="1" errorTitle="Pick from list" error="Please pick a value from the dropdown." type="list">
      <formula1>"Sourced,Screened,Interview 1,Work sample,Interview 2,References,Offer,Hired,Rejected,Withdrawn"</formula1>
    </dataValidation>
    <dataValidation sqref="J5:J24" showDropDown="0" showInputMessage="0" showErrorMessage="1" allowBlank="1" errorTitle="Pick from list" error="Please pick a value from the dropdown." type="list">
      <formula1>"Pending,Hire,No hire,Hold"</formula1>
    </dataValidation>
    <dataValidation sqref="F5:F24" showDropDown="0" showInputMessage="0" showErrorMessage="1" allowBlank="1" error="Enter a whole number between 1 and 4." type="whole" operator="between">
      <formula1>1</formula1>
      <formula2>4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C3AED"/>
    <outlinePr summaryBelow="1" summaryRight="1"/>
    <pageSetUpPr/>
  </sheetPr>
  <dimension ref="A1:Z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9" customWidth="1" min="4" max="4"/>
    <col width="13" customWidth="1" min="5" max="5"/>
    <col width="4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</cols>
  <sheetData>
    <row r="1" ht="40" customHeight="1">
      <c r="A1" s="1" t="inlineStr">
        <is>
          <t>Headcount Plan — 18-month view of roles, start month, monthly cost (incl. statutory) and the trigger that justifies each hire; monthly totals, cumulative cost and active headcount compute.</t>
        </is>
      </c>
    </row>
    <row r="2" ht="30" customHeight="1">
      <c r="A2" s="2" t="inlineStr">
        <is>
          <t>Example rows (grey italic) are illustrative — replace with real data. Yellow = input, blue = formula (do not overwrite). M1 = first month of the plan (e.g., Sep 2026). Month cells = IF(month ≥ start month, monthly cost, 0). Hire on triggers, not hope; contractors before employees.</t>
        </is>
      </c>
    </row>
    <row r="3">
      <c r="H3" s="40" t="inlineStr">
        <is>
          <t>M1 = plan month 1 (e.g., Sep 2026); header cells hold 1–18</t>
        </is>
      </c>
    </row>
    <row r="4" ht="32" customHeight="1">
      <c r="A4" s="3" t="inlineStr">
        <is>
          <t>Role</t>
        </is>
      </c>
      <c r="B4" s="3" t="inlineStr">
        <is>
          <t>Function</t>
        </is>
      </c>
      <c r="C4" s="3" t="inlineStr">
        <is>
          <t>Type</t>
        </is>
      </c>
      <c r="D4" s="3" t="inlineStr">
        <is>
          <t>Start month (1–18)</t>
        </is>
      </c>
      <c r="E4" s="3" t="inlineStr">
        <is>
          <t>Monthly cost incl. statutory (₹)</t>
        </is>
      </c>
      <c r="F4" s="3" t="inlineStr">
        <is>
          <t>Trigger to hire (metric)</t>
        </is>
      </c>
      <c r="G4" s="3" t="inlineStr">
        <is>
          <t>Status</t>
        </is>
      </c>
      <c r="H4" s="82" t="n">
        <v>1</v>
      </c>
      <c r="I4" s="82" t="n">
        <v>2</v>
      </c>
      <c r="J4" s="82" t="n">
        <v>3</v>
      </c>
      <c r="K4" s="82" t="n">
        <v>4</v>
      </c>
      <c r="L4" s="82" t="n">
        <v>5</v>
      </c>
      <c r="M4" s="82" t="n">
        <v>6</v>
      </c>
      <c r="N4" s="82" t="n">
        <v>7</v>
      </c>
      <c r="O4" s="82" t="n">
        <v>8</v>
      </c>
      <c r="P4" s="82" t="n">
        <v>9</v>
      </c>
      <c r="Q4" s="82" t="n">
        <v>10</v>
      </c>
      <c r="R4" s="82" t="n">
        <v>11</v>
      </c>
      <c r="S4" s="82" t="n">
        <v>12</v>
      </c>
      <c r="T4" s="82" t="n">
        <v>13</v>
      </c>
      <c r="U4" s="82" t="n">
        <v>14</v>
      </c>
      <c r="V4" s="82" t="n">
        <v>15</v>
      </c>
      <c r="W4" s="82" t="n">
        <v>16</v>
      </c>
      <c r="X4" s="82" t="n">
        <v>17</v>
      </c>
      <c r="Y4" s="82" t="n">
        <v>18</v>
      </c>
      <c r="Z4" s="3" t="inlineStr">
        <is>
          <t>18-month total (₹)</t>
        </is>
      </c>
    </row>
    <row r="5">
      <c r="A5" s="56" t="inlineStr">
        <is>
          <t>Support / Ops Associate</t>
        </is>
      </c>
      <c r="B5" s="14" t="inlineStr">
        <is>
          <t>Customer / Ops</t>
        </is>
      </c>
      <c r="C5" s="14" t="inlineStr">
        <is>
          <t>Employee</t>
        </is>
      </c>
      <c r="D5" s="65" t="n">
        <v>1</v>
      </c>
      <c r="E5" s="20" t="n">
        <v>25000</v>
      </c>
      <c r="F5" s="56" t="inlineStr">
        <is>
          <t>≥ 10 active tenants or &gt; 20 tickets/week (founder can no longer answer every ticket)</t>
        </is>
      </c>
      <c r="G5" s="14" t="inlineStr">
        <is>
          <t>Open</t>
        </is>
      </c>
      <c r="H5" s="33">
        <f>IF($D5="",0,IF(H$4&gt;=$D5,$E5,0))</f>
        <v/>
      </c>
      <c r="I5" s="33">
        <f>IF($D5="",0,IF(I$4&gt;=$D5,$E5,0))</f>
        <v/>
      </c>
      <c r="J5" s="33">
        <f>IF($D5="",0,IF(J$4&gt;=$D5,$E5,0))</f>
        <v/>
      </c>
      <c r="K5" s="33">
        <f>IF($D5="",0,IF(K$4&gt;=$D5,$E5,0))</f>
        <v/>
      </c>
      <c r="L5" s="33">
        <f>IF($D5="",0,IF(L$4&gt;=$D5,$E5,0))</f>
        <v/>
      </c>
      <c r="M5" s="33">
        <f>IF($D5="",0,IF(M$4&gt;=$D5,$E5,0))</f>
        <v/>
      </c>
      <c r="N5" s="33">
        <f>IF($D5="",0,IF(N$4&gt;=$D5,$E5,0))</f>
        <v/>
      </c>
      <c r="O5" s="33">
        <f>IF($D5="",0,IF(O$4&gt;=$D5,$E5,0))</f>
        <v/>
      </c>
      <c r="P5" s="33">
        <f>IF($D5="",0,IF(P$4&gt;=$D5,$E5,0))</f>
        <v/>
      </c>
      <c r="Q5" s="33">
        <f>IF($D5="",0,IF(Q$4&gt;=$D5,$E5,0))</f>
        <v/>
      </c>
      <c r="R5" s="33">
        <f>IF($D5="",0,IF(R$4&gt;=$D5,$E5,0))</f>
        <v/>
      </c>
      <c r="S5" s="33">
        <f>IF($D5="",0,IF(S$4&gt;=$D5,$E5,0))</f>
        <v/>
      </c>
      <c r="T5" s="33">
        <f>IF($D5="",0,IF(T$4&gt;=$D5,$E5,0))</f>
        <v/>
      </c>
      <c r="U5" s="33">
        <f>IF($D5="",0,IF(U$4&gt;=$D5,$E5,0))</f>
        <v/>
      </c>
      <c r="V5" s="33">
        <f>IF($D5="",0,IF(V$4&gt;=$D5,$E5,0))</f>
        <v/>
      </c>
      <c r="W5" s="33">
        <f>IF($D5="",0,IF(W$4&gt;=$D5,$E5,0))</f>
        <v/>
      </c>
      <c r="X5" s="33">
        <f>IF($D5="",0,IF(X$4&gt;=$D5,$E5,0))</f>
        <v/>
      </c>
      <c r="Y5" s="33">
        <f>IF($D5="",0,IF(Y$4&gt;=$D5,$E5,0))</f>
        <v/>
      </c>
      <c r="Z5" s="23">
        <f>SUM(H5:Y5)</f>
        <v/>
      </c>
    </row>
    <row r="6">
      <c r="A6" s="56" t="inlineStr">
        <is>
          <t>QA / Tester (part-time)</t>
        </is>
      </c>
      <c r="B6" s="14" t="inlineStr">
        <is>
          <t>Engineering</t>
        </is>
      </c>
      <c r="C6" s="14" t="inlineStr">
        <is>
          <t>Contractor</t>
        </is>
      </c>
      <c r="D6" s="65" t="n">
        <v>1</v>
      </c>
      <c r="E6" s="20" t="n">
        <v>20000</v>
      </c>
      <c r="F6" s="56" t="inlineStr">
        <is>
          <t>Every release; needed now for store builds</t>
        </is>
      </c>
      <c r="G6" s="14" t="inlineStr">
        <is>
          <t>Hired</t>
        </is>
      </c>
      <c r="H6" s="33">
        <f>IF($D6="",0,IF(H$4&gt;=$D6,$E6,0))</f>
        <v/>
      </c>
      <c r="I6" s="33">
        <f>IF($D6="",0,IF(I$4&gt;=$D6,$E6,0))</f>
        <v/>
      </c>
      <c r="J6" s="33">
        <f>IF($D6="",0,IF(J$4&gt;=$D6,$E6,0))</f>
        <v/>
      </c>
      <c r="K6" s="33">
        <f>IF($D6="",0,IF(K$4&gt;=$D6,$E6,0))</f>
        <v/>
      </c>
      <c r="L6" s="33">
        <f>IF($D6="",0,IF(L$4&gt;=$D6,$E6,0))</f>
        <v/>
      </c>
      <c r="M6" s="33">
        <f>IF($D6="",0,IF(M$4&gt;=$D6,$E6,0))</f>
        <v/>
      </c>
      <c r="N6" s="33">
        <f>IF($D6="",0,IF(N$4&gt;=$D6,$E6,0))</f>
        <v/>
      </c>
      <c r="O6" s="33">
        <f>IF($D6="",0,IF(O$4&gt;=$D6,$E6,0))</f>
        <v/>
      </c>
      <c r="P6" s="33">
        <f>IF($D6="",0,IF(P$4&gt;=$D6,$E6,0))</f>
        <v/>
      </c>
      <c r="Q6" s="33">
        <f>IF($D6="",0,IF(Q$4&gt;=$D6,$E6,0))</f>
        <v/>
      </c>
      <c r="R6" s="33">
        <f>IF($D6="",0,IF(R$4&gt;=$D6,$E6,0))</f>
        <v/>
      </c>
      <c r="S6" s="33">
        <f>IF($D6="",0,IF(S$4&gt;=$D6,$E6,0))</f>
        <v/>
      </c>
      <c r="T6" s="33">
        <f>IF($D6="",0,IF(T$4&gt;=$D6,$E6,0))</f>
        <v/>
      </c>
      <c r="U6" s="33">
        <f>IF($D6="",0,IF(U$4&gt;=$D6,$E6,0))</f>
        <v/>
      </c>
      <c r="V6" s="33">
        <f>IF($D6="",0,IF(V$4&gt;=$D6,$E6,0))</f>
        <v/>
      </c>
      <c r="W6" s="33">
        <f>IF($D6="",0,IF(W$4&gt;=$D6,$E6,0))</f>
        <v/>
      </c>
      <c r="X6" s="33">
        <f>IF($D6="",0,IF(X$4&gt;=$D6,$E6,0))</f>
        <v/>
      </c>
      <c r="Y6" s="33">
        <f>IF($D6="",0,IF(Y$4&gt;=$D6,$E6,0))</f>
        <v/>
      </c>
      <c r="Z6" s="23">
        <f>SUM(H6:Y6)</f>
        <v/>
      </c>
    </row>
    <row r="7">
      <c r="A7" s="56" t="inlineStr">
        <is>
          <t>Field Sales Executive (Raipur district)</t>
        </is>
      </c>
      <c r="B7" s="14" t="inlineStr">
        <is>
          <t>Revenue</t>
        </is>
      </c>
      <c r="C7" s="14" t="inlineStr">
        <is>
          <t>Employee</t>
        </is>
      </c>
      <c r="D7" s="65" t="n">
        <v>2</v>
      </c>
      <c r="E7" s="20" t="n">
        <v>30000</v>
      </c>
      <c r="F7" s="56" t="inlineStr">
        <is>
          <t>Pipeline math shows &gt; 8 demos/week needed; one district first</t>
        </is>
      </c>
      <c r="G7" s="14" t="inlineStr">
        <is>
          <t>Planned</t>
        </is>
      </c>
      <c r="H7" s="33">
        <f>IF($D7="",0,IF(H$4&gt;=$D7,$E7,0))</f>
        <v/>
      </c>
      <c r="I7" s="33">
        <f>IF($D7="",0,IF(I$4&gt;=$D7,$E7,0))</f>
        <v/>
      </c>
      <c r="J7" s="33">
        <f>IF($D7="",0,IF(J$4&gt;=$D7,$E7,0))</f>
        <v/>
      </c>
      <c r="K7" s="33">
        <f>IF($D7="",0,IF(K$4&gt;=$D7,$E7,0))</f>
        <v/>
      </c>
      <c r="L7" s="33">
        <f>IF($D7="",0,IF(L$4&gt;=$D7,$E7,0))</f>
        <v/>
      </c>
      <c r="M7" s="33">
        <f>IF($D7="",0,IF(M$4&gt;=$D7,$E7,0))</f>
        <v/>
      </c>
      <c r="N7" s="33">
        <f>IF($D7="",0,IF(N$4&gt;=$D7,$E7,0))</f>
        <v/>
      </c>
      <c r="O7" s="33">
        <f>IF($D7="",0,IF(O$4&gt;=$D7,$E7,0))</f>
        <v/>
      </c>
      <c r="P7" s="33">
        <f>IF($D7="",0,IF(P$4&gt;=$D7,$E7,0))</f>
        <v/>
      </c>
      <c r="Q7" s="33">
        <f>IF($D7="",0,IF(Q$4&gt;=$D7,$E7,0))</f>
        <v/>
      </c>
      <c r="R7" s="33">
        <f>IF($D7="",0,IF(R$4&gt;=$D7,$E7,0))</f>
        <v/>
      </c>
      <c r="S7" s="33">
        <f>IF($D7="",0,IF(S$4&gt;=$D7,$E7,0))</f>
        <v/>
      </c>
      <c r="T7" s="33">
        <f>IF($D7="",0,IF(T$4&gt;=$D7,$E7,0))</f>
        <v/>
      </c>
      <c r="U7" s="33">
        <f>IF($D7="",0,IF(U$4&gt;=$D7,$E7,0))</f>
        <v/>
      </c>
      <c r="V7" s="33">
        <f>IF($D7="",0,IF(V$4&gt;=$D7,$E7,0))</f>
        <v/>
      </c>
      <c r="W7" s="33">
        <f>IF($D7="",0,IF(W$4&gt;=$D7,$E7,0))</f>
        <v/>
      </c>
      <c r="X7" s="33">
        <f>IF($D7="",0,IF(X$4&gt;=$D7,$E7,0))</f>
        <v/>
      </c>
      <c r="Y7" s="33">
        <f>IF($D7="",0,IF(Y$4&gt;=$D7,$E7,0))</f>
        <v/>
      </c>
      <c r="Z7" s="23">
        <f>SUM(H7:Y7)</f>
        <v/>
      </c>
    </row>
    <row r="8">
      <c r="A8" s="56" t="inlineStr">
        <is>
          <t>React Native Developer (contract)</t>
        </is>
      </c>
      <c r="B8" s="14" t="inlineStr">
        <is>
          <t>Engineering</t>
        </is>
      </c>
      <c r="C8" s="14" t="inlineStr">
        <is>
          <t>Contractor</t>
        </is>
      </c>
      <c r="D8" s="65" t="n">
        <v>3</v>
      </c>
      <c r="E8" s="20" t="n">
        <v>80000</v>
      </c>
      <c r="F8" s="56" t="inlineStr">
        <is>
          <t>Release backlog &gt; 6 weeks; CTO on-call load</t>
        </is>
      </c>
      <c r="G8" s="14" t="inlineStr">
        <is>
          <t>Planned</t>
        </is>
      </c>
      <c r="H8" s="33">
        <f>IF($D8="",0,IF(H$4&gt;=$D8,$E8,0))</f>
        <v/>
      </c>
      <c r="I8" s="33">
        <f>IF($D8="",0,IF(I$4&gt;=$D8,$E8,0))</f>
        <v/>
      </c>
      <c r="J8" s="33">
        <f>IF($D8="",0,IF(J$4&gt;=$D8,$E8,0))</f>
        <v/>
      </c>
      <c r="K8" s="33">
        <f>IF($D8="",0,IF(K$4&gt;=$D8,$E8,0))</f>
        <v/>
      </c>
      <c r="L8" s="33">
        <f>IF($D8="",0,IF(L$4&gt;=$D8,$E8,0))</f>
        <v/>
      </c>
      <c r="M8" s="33">
        <f>IF($D8="",0,IF(M$4&gt;=$D8,$E8,0))</f>
        <v/>
      </c>
      <c r="N8" s="33">
        <f>IF($D8="",0,IF(N$4&gt;=$D8,$E8,0))</f>
        <v/>
      </c>
      <c r="O8" s="33">
        <f>IF($D8="",0,IF(O$4&gt;=$D8,$E8,0))</f>
        <v/>
      </c>
      <c r="P8" s="33">
        <f>IF($D8="",0,IF(P$4&gt;=$D8,$E8,0))</f>
        <v/>
      </c>
      <c r="Q8" s="33">
        <f>IF($D8="",0,IF(Q$4&gt;=$D8,$E8,0))</f>
        <v/>
      </c>
      <c r="R8" s="33">
        <f>IF($D8="",0,IF(R$4&gt;=$D8,$E8,0))</f>
        <v/>
      </c>
      <c r="S8" s="33">
        <f>IF($D8="",0,IF(S$4&gt;=$D8,$E8,0))</f>
        <v/>
      </c>
      <c r="T8" s="33">
        <f>IF($D8="",0,IF(T$4&gt;=$D8,$E8,0))</f>
        <v/>
      </c>
      <c r="U8" s="33">
        <f>IF($D8="",0,IF(U$4&gt;=$D8,$E8,0))</f>
        <v/>
      </c>
      <c r="V8" s="33">
        <f>IF($D8="",0,IF(V$4&gt;=$D8,$E8,0))</f>
        <v/>
      </c>
      <c r="W8" s="33">
        <f>IF($D8="",0,IF(W$4&gt;=$D8,$E8,0))</f>
        <v/>
      </c>
      <c r="X8" s="33">
        <f>IF($D8="",0,IF(X$4&gt;=$D8,$E8,0))</f>
        <v/>
      </c>
      <c r="Y8" s="33">
        <f>IF($D8="",0,IF(Y$4&gt;=$D8,$E8,0))</f>
        <v/>
      </c>
      <c r="Z8" s="23">
        <f>SUM(H8:Y8)</f>
        <v/>
      </c>
    </row>
    <row r="9">
      <c r="A9" s="56" t="inlineStr">
        <is>
          <t>Customer Success / Onboarding Specialist</t>
        </is>
      </c>
      <c r="B9" s="14" t="inlineStr">
        <is>
          <t>Customer / Ops</t>
        </is>
      </c>
      <c r="C9" s="14" t="inlineStr">
        <is>
          <t>Employee</t>
        </is>
      </c>
      <c r="D9" s="65" t="n">
        <v>7</v>
      </c>
      <c r="E9" s="20" t="n">
        <v>30000</v>
      </c>
      <c r="F9" s="56" t="inlineStr">
        <is>
          <t>&gt; 25 paying tenants; activation rate &lt; 60 %</t>
        </is>
      </c>
      <c r="G9" s="14" t="inlineStr">
        <is>
          <t>Planned</t>
        </is>
      </c>
      <c r="H9" s="33">
        <f>IF($D9="",0,IF(H$4&gt;=$D9,$E9,0))</f>
        <v/>
      </c>
      <c r="I9" s="33">
        <f>IF($D9="",0,IF(I$4&gt;=$D9,$E9,0))</f>
        <v/>
      </c>
      <c r="J9" s="33">
        <f>IF($D9="",0,IF(J$4&gt;=$D9,$E9,0))</f>
        <v/>
      </c>
      <c r="K9" s="33">
        <f>IF($D9="",0,IF(K$4&gt;=$D9,$E9,0))</f>
        <v/>
      </c>
      <c r="L9" s="33">
        <f>IF($D9="",0,IF(L$4&gt;=$D9,$E9,0))</f>
        <v/>
      </c>
      <c r="M9" s="33">
        <f>IF($D9="",0,IF(M$4&gt;=$D9,$E9,0))</f>
        <v/>
      </c>
      <c r="N9" s="33">
        <f>IF($D9="",0,IF(N$4&gt;=$D9,$E9,0))</f>
        <v/>
      </c>
      <c r="O9" s="33">
        <f>IF($D9="",0,IF(O$4&gt;=$D9,$E9,0))</f>
        <v/>
      </c>
      <c r="P9" s="33">
        <f>IF($D9="",0,IF(P$4&gt;=$D9,$E9,0))</f>
        <v/>
      </c>
      <c r="Q9" s="33">
        <f>IF($D9="",0,IF(Q$4&gt;=$D9,$E9,0))</f>
        <v/>
      </c>
      <c r="R9" s="33">
        <f>IF($D9="",0,IF(R$4&gt;=$D9,$E9,0))</f>
        <v/>
      </c>
      <c r="S9" s="33">
        <f>IF($D9="",0,IF(S$4&gt;=$D9,$E9,0))</f>
        <v/>
      </c>
      <c r="T9" s="33">
        <f>IF($D9="",0,IF(T$4&gt;=$D9,$E9,0))</f>
        <v/>
      </c>
      <c r="U9" s="33">
        <f>IF($D9="",0,IF(U$4&gt;=$D9,$E9,0))</f>
        <v/>
      </c>
      <c r="V9" s="33">
        <f>IF($D9="",0,IF(V$4&gt;=$D9,$E9,0))</f>
        <v/>
      </c>
      <c r="W9" s="33">
        <f>IF($D9="",0,IF(W$4&gt;=$D9,$E9,0))</f>
        <v/>
      </c>
      <c r="X9" s="33">
        <f>IF($D9="",0,IF(X$4&gt;=$D9,$E9,0))</f>
        <v/>
      </c>
      <c r="Y9" s="33">
        <f>IF($D9="",0,IF(Y$4&gt;=$D9,$E9,0))</f>
        <v/>
      </c>
      <c r="Z9" s="23">
        <f>SUM(H9:Y9)</f>
        <v/>
      </c>
    </row>
    <row r="10">
      <c r="A10" s="56" t="inlineStr">
        <is>
          <t>Backend Developer</t>
        </is>
      </c>
      <c r="B10" s="14" t="inlineStr">
        <is>
          <t>Engineering</t>
        </is>
      </c>
      <c r="C10" s="14" t="inlineStr">
        <is>
          <t>Employee</t>
        </is>
      </c>
      <c r="D10" s="65" t="n">
        <v>10</v>
      </c>
      <c r="E10" s="20" t="n">
        <v>90000</v>
      </c>
      <c r="F10" s="56" t="inlineStr">
        <is>
          <t>Second product line / payment-gateway integration signed</t>
        </is>
      </c>
      <c r="G10" s="14" t="inlineStr">
        <is>
          <t>Planned</t>
        </is>
      </c>
      <c r="H10" s="33">
        <f>IF($D10="",0,IF(H$4&gt;=$D10,$E10,0))</f>
        <v/>
      </c>
      <c r="I10" s="33">
        <f>IF($D10="",0,IF(I$4&gt;=$D10,$E10,0))</f>
        <v/>
      </c>
      <c r="J10" s="33">
        <f>IF($D10="",0,IF(J$4&gt;=$D10,$E10,0))</f>
        <v/>
      </c>
      <c r="K10" s="33">
        <f>IF($D10="",0,IF(K$4&gt;=$D10,$E10,0))</f>
        <v/>
      </c>
      <c r="L10" s="33">
        <f>IF($D10="",0,IF(L$4&gt;=$D10,$E10,0))</f>
        <v/>
      </c>
      <c r="M10" s="33">
        <f>IF($D10="",0,IF(M$4&gt;=$D10,$E10,0))</f>
        <v/>
      </c>
      <c r="N10" s="33">
        <f>IF($D10="",0,IF(N$4&gt;=$D10,$E10,0))</f>
        <v/>
      </c>
      <c r="O10" s="33">
        <f>IF($D10="",0,IF(O$4&gt;=$D10,$E10,0))</f>
        <v/>
      </c>
      <c r="P10" s="33">
        <f>IF($D10="",0,IF(P$4&gt;=$D10,$E10,0))</f>
        <v/>
      </c>
      <c r="Q10" s="33">
        <f>IF($D10="",0,IF(Q$4&gt;=$D10,$E10,0))</f>
        <v/>
      </c>
      <c r="R10" s="33">
        <f>IF($D10="",0,IF(R$4&gt;=$D10,$E10,0))</f>
        <v/>
      </c>
      <c r="S10" s="33">
        <f>IF($D10="",0,IF(S$4&gt;=$D10,$E10,0))</f>
        <v/>
      </c>
      <c r="T10" s="33">
        <f>IF($D10="",0,IF(T$4&gt;=$D10,$E10,0))</f>
        <v/>
      </c>
      <c r="U10" s="33">
        <f>IF($D10="",0,IF(U$4&gt;=$D10,$E10,0))</f>
        <v/>
      </c>
      <c r="V10" s="33">
        <f>IF($D10="",0,IF(V$4&gt;=$D10,$E10,0))</f>
        <v/>
      </c>
      <c r="W10" s="33">
        <f>IF($D10="",0,IF(W$4&gt;=$D10,$E10,0))</f>
        <v/>
      </c>
      <c r="X10" s="33">
        <f>IF($D10="",0,IF(X$4&gt;=$D10,$E10,0))</f>
        <v/>
      </c>
      <c r="Y10" s="33">
        <f>IF($D10="",0,IF(Y$4&gt;=$D10,$E10,0))</f>
        <v/>
      </c>
      <c r="Z10" s="23">
        <f>SUM(H10:Y10)</f>
        <v/>
      </c>
    </row>
    <row r="11">
      <c r="A11" s="6" t="n"/>
      <c r="B11" s="19" t="n"/>
      <c r="C11" s="19" t="n"/>
      <c r="D11" s="83" t="n"/>
      <c r="E11" s="64" t="n"/>
      <c r="F11" s="6" t="n"/>
      <c r="G11" s="19" t="n"/>
      <c r="H11" s="33">
        <f>IF($D11="",0,IF(H$4&gt;=$D11,$E11,0))</f>
        <v/>
      </c>
      <c r="I11" s="33">
        <f>IF($D11="",0,IF(I$4&gt;=$D11,$E11,0))</f>
        <v/>
      </c>
      <c r="J11" s="33">
        <f>IF($D11="",0,IF(J$4&gt;=$D11,$E11,0))</f>
        <v/>
      </c>
      <c r="K11" s="33">
        <f>IF($D11="",0,IF(K$4&gt;=$D11,$E11,0))</f>
        <v/>
      </c>
      <c r="L11" s="33">
        <f>IF($D11="",0,IF(L$4&gt;=$D11,$E11,0))</f>
        <v/>
      </c>
      <c r="M11" s="33">
        <f>IF($D11="",0,IF(M$4&gt;=$D11,$E11,0))</f>
        <v/>
      </c>
      <c r="N11" s="33">
        <f>IF($D11="",0,IF(N$4&gt;=$D11,$E11,0))</f>
        <v/>
      </c>
      <c r="O11" s="33">
        <f>IF($D11="",0,IF(O$4&gt;=$D11,$E11,0))</f>
        <v/>
      </c>
      <c r="P11" s="33">
        <f>IF($D11="",0,IF(P$4&gt;=$D11,$E11,0))</f>
        <v/>
      </c>
      <c r="Q11" s="33">
        <f>IF($D11="",0,IF(Q$4&gt;=$D11,$E11,0))</f>
        <v/>
      </c>
      <c r="R11" s="33">
        <f>IF($D11="",0,IF(R$4&gt;=$D11,$E11,0))</f>
        <v/>
      </c>
      <c r="S11" s="33">
        <f>IF($D11="",0,IF(S$4&gt;=$D11,$E11,0))</f>
        <v/>
      </c>
      <c r="T11" s="33">
        <f>IF($D11="",0,IF(T$4&gt;=$D11,$E11,0))</f>
        <v/>
      </c>
      <c r="U11" s="33">
        <f>IF($D11="",0,IF(U$4&gt;=$D11,$E11,0))</f>
        <v/>
      </c>
      <c r="V11" s="33">
        <f>IF($D11="",0,IF(V$4&gt;=$D11,$E11,0))</f>
        <v/>
      </c>
      <c r="W11" s="33">
        <f>IF($D11="",0,IF(W$4&gt;=$D11,$E11,0))</f>
        <v/>
      </c>
      <c r="X11" s="33">
        <f>IF($D11="",0,IF(X$4&gt;=$D11,$E11,0))</f>
        <v/>
      </c>
      <c r="Y11" s="33">
        <f>IF($D11="",0,IF(Y$4&gt;=$D11,$E11,0))</f>
        <v/>
      </c>
      <c r="Z11" s="23">
        <f>SUM(H11:Y11)</f>
        <v/>
      </c>
    </row>
    <row r="12">
      <c r="A12" s="6" t="n"/>
      <c r="B12" s="19" t="n"/>
      <c r="C12" s="19" t="n"/>
      <c r="D12" s="83" t="n"/>
      <c r="E12" s="64" t="n"/>
      <c r="F12" s="6" t="n"/>
      <c r="G12" s="19" t="n"/>
      <c r="H12" s="33">
        <f>IF($D12="",0,IF(H$4&gt;=$D12,$E12,0))</f>
        <v/>
      </c>
      <c r="I12" s="33">
        <f>IF($D12="",0,IF(I$4&gt;=$D12,$E12,0))</f>
        <v/>
      </c>
      <c r="J12" s="33">
        <f>IF($D12="",0,IF(J$4&gt;=$D12,$E12,0))</f>
        <v/>
      </c>
      <c r="K12" s="33">
        <f>IF($D12="",0,IF(K$4&gt;=$D12,$E12,0))</f>
        <v/>
      </c>
      <c r="L12" s="33">
        <f>IF($D12="",0,IF(L$4&gt;=$D12,$E12,0))</f>
        <v/>
      </c>
      <c r="M12" s="33">
        <f>IF($D12="",0,IF(M$4&gt;=$D12,$E12,0))</f>
        <v/>
      </c>
      <c r="N12" s="33">
        <f>IF($D12="",0,IF(N$4&gt;=$D12,$E12,0))</f>
        <v/>
      </c>
      <c r="O12" s="33">
        <f>IF($D12="",0,IF(O$4&gt;=$D12,$E12,0))</f>
        <v/>
      </c>
      <c r="P12" s="33">
        <f>IF($D12="",0,IF(P$4&gt;=$D12,$E12,0))</f>
        <v/>
      </c>
      <c r="Q12" s="33">
        <f>IF($D12="",0,IF(Q$4&gt;=$D12,$E12,0))</f>
        <v/>
      </c>
      <c r="R12" s="33">
        <f>IF($D12="",0,IF(R$4&gt;=$D12,$E12,0))</f>
        <v/>
      </c>
      <c r="S12" s="33">
        <f>IF($D12="",0,IF(S$4&gt;=$D12,$E12,0))</f>
        <v/>
      </c>
      <c r="T12" s="33">
        <f>IF($D12="",0,IF(T$4&gt;=$D12,$E12,0))</f>
        <v/>
      </c>
      <c r="U12" s="33">
        <f>IF($D12="",0,IF(U$4&gt;=$D12,$E12,0))</f>
        <v/>
      </c>
      <c r="V12" s="33">
        <f>IF($D12="",0,IF(V$4&gt;=$D12,$E12,0))</f>
        <v/>
      </c>
      <c r="W12" s="33">
        <f>IF($D12="",0,IF(W$4&gt;=$D12,$E12,0))</f>
        <v/>
      </c>
      <c r="X12" s="33">
        <f>IF($D12="",0,IF(X$4&gt;=$D12,$E12,0))</f>
        <v/>
      </c>
      <c r="Y12" s="33">
        <f>IF($D12="",0,IF(Y$4&gt;=$D12,$E12,0))</f>
        <v/>
      </c>
      <c r="Z12" s="23">
        <f>SUM(H12:Y12)</f>
        <v/>
      </c>
    </row>
    <row r="13">
      <c r="A13" s="6" t="n"/>
      <c r="B13" s="19" t="n"/>
      <c r="C13" s="19" t="n"/>
      <c r="D13" s="83" t="n"/>
      <c r="E13" s="64" t="n"/>
      <c r="F13" s="6" t="n"/>
      <c r="G13" s="19" t="n"/>
      <c r="H13" s="33">
        <f>IF($D13="",0,IF(H$4&gt;=$D13,$E13,0))</f>
        <v/>
      </c>
      <c r="I13" s="33">
        <f>IF($D13="",0,IF(I$4&gt;=$D13,$E13,0))</f>
        <v/>
      </c>
      <c r="J13" s="33">
        <f>IF($D13="",0,IF(J$4&gt;=$D13,$E13,0))</f>
        <v/>
      </c>
      <c r="K13" s="33">
        <f>IF($D13="",0,IF(K$4&gt;=$D13,$E13,0))</f>
        <v/>
      </c>
      <c r="L13" s="33">
        <f>IF($D13="",0,IF(L$4&gt;=$D13,$E13,0))</f>
        <v/>
      </c>
      <c r="M13" s="33">
        <f>IF($D13="",0,IF(M$4&gt;=$D13,$E13,0))</f>
        <v/>
      </c>
      <c r="N13" s="33">
        <f>IF($D13="",0,IF(N$4&gt;=$D13,$E13,0))</f>
        <v/>
      </c>
      <c r="O13" s="33">
        <f>IF($D13="",0,IF(O$4&gt;=$D13,$E13,0))</f>
        <v/>
      </c>
      <c r="P13" s="33">
        <f>IF($D13="",0,IF(P$4&gt;=$D13,$E13,0))</f>
        <v/>
      </c>
      <c r="Q13" s="33">
        <f>IF($D13="",0,IF(Q$4&gt;=$D13,$E13,0))</f>
        <v/>
      </c>
      <c r="R13" s="33">
        <f>IF($D13="",0,IF(R$4&gt;=$D13,$E13,0))</f>
        <v/>
      </c>
      <c r="S13" s="33">
        <f>IF($D13="",0,IF(S$4&gt;=$D13,$E13,0))</f>
        <v/>
      </c>
      <c r="T13" s="33">
        <f>IF($D13="",0,IF(T$4&gt;=$D13,$E13,0))</f>
        <v/>
      </c>
      <c r="U13" s="33">
        <f>IF($D13="",0,IF(U$4&gt;=$D13,$E13,0))</f>
        <v/>
      </c>
      <c r="V13" s="33">
        <f>IF($D13="",0,IF(V$4&gt;=$D13,$E13,0))</f>
        <v/>
      </c>
      <c r="W13" s="33">
        <f>IF($D13="",0,IF(W$4&gt;=$D13,$E13,0))</f>
        <v/>
      </c>
      <c r="X13" s="33">
        <f>IF($D13="",0,IF(X$4&gt;=$D13,$E13,0))</f>
        <v/>
      </c>
      <c r="Y13" s="33">
        <f>IF($D13="",0,IF(Y$4&gt;=$D13,$E13,0))</f>
        <v/>
      </c>
      <c r="Z13" s="23">
        <f>SUM(H13:Y13)</f>
        <v/>
      </c>
    </row>
    <row r="14">
      <c r="A14" s="6" t="n"/>
      <c r="B14" s="19" t="n"/>
      <c r="C14" s="19" t="n"/>
      <c r="D14" s="83" t="n"/>
      <c r="E14" s="64" t="n"/>
      <c r="F14" s="6" t="n"/>
      <c r="G14" s="19" t="n"/>
      <c r="H14" s="33">
        <f>IF($D14="",0,IF(H$4&gt;=$D14,$E14,0))</f>
        <v/>
      </c>
      <c r="I14" s="33">
        <f>IF($D14="",0,IF(I$4&gt;=$D14,$E14,0))</f>
        <v/>
      </c>
      <c r="J14" s="33">
        <f>IF($D14="",0,IF(J$4&gt;=$D14,$E14,0))</f>
        <v/>
      </c>
      <c r="K14" s="33">
        <f>IF($D14="",0,IF(K$4&gt;=$D14,$E14,0))</f>
        <v/>
      </c>
      <c r="L14" s="33">
        <f>IF($D14="",0,IF(L$4&gt;=$D14,$E14,0))</f>
        <v/>
      </c>
      <c r="M14" s="33">
        <f>IF($D14="",0,IF(M$4&gt;=$D14,$E14,0))</f>
        <v/>
      </c>
      <c r="N14" s="33">
        <f>IF($D14="",0,IF(N$4&gt;=$D14,$E14,0))</f>
        <v/>
      </c>
      <c r="O14" s="33">
        <f>IF($D14="",0,IF(O$4&gt;=$D14,$E14,0))</f>
        <v/>
      </c>
      <c r="P14" s="33">
        <f>IF($D14="",0,IF(P$4&gt;=$D14,$E14,0))</f>
        <v/>
      </c>
      <c r="Q14" s="33">
        <f>IF($D14="",0,IF(Q$4&gt;=$D14,$E14,0))</f>
        <v/>
      </c>
      <c r="R14" s="33">
        <f>IF($D14="",0,IF(R$4&gt;=$D14,$E14,0))</f>
        <v/>
      </c>
      <c r="S14" s="33">
        <f>IF($D14="",0,IF(S$4&gt;=$D14,$E14,0))</f>
        <v/>
      </c>
      <c r="T14" s="33">
        <f>IF($D14="",0,IF(T$4&gt;=$D14,$E14,0))</f>
        <v/>
      </c>
      <c r="U14" s="33">
        <f>IF($D14="",0,IF(U$4&gt;=$D14,$E14,0))</f>
        <v/>
      </c>
      <c r="V14" s="33">
        <f>IF($D14="",0,IF(V$4&gt;=$D14,$E14,0))</f>
        <v/>
      </c>
      <c r="W14" s="33">
        <f>IF($D14="",0,IF(W$4&gt;=$D14,$E14,0))</f>
        <v/>
      </c>
      <c r="X14" s="33">
        <f>IF($D14="",0,IF(X$4&gt;=$D14,$E14,0))</f>
        <v/>
      </c>
      <c r="Y14" s="33">
        <f>IF($D14="",0,IF(Y$4&gt;=$D14,$E14,0))</f>
        <v/>
      </c>
      <c r="Z14" s="23">
        <f>SUM(H14:Y14)</f>
        <v/>
      </c>
    </row>
    <row r="15">
      <c r="A15" s="6" t="n"/>
      <c r="B15" s="19" t="n"/>
      <c r="C15" s="19" t="n"/>
      <c r="D15" s="83" t="n"/>
      <c r="E15" s="64" t="n"/>
      <c r="F15" s="6" t="n"/>
      <c r="G15" s="19" t="n"/>
      <c r="H15" s="33">
        <f>IF($D15="",0,IF(H$4&gt;=$D15,$E15,0))</f>
        <v/>
      </c>
      <c r="I15" s="33">
        <f>IF($D15="",0,IF(I$4&gt;=$D15,$E15,0))</f>
        <v/>
      </c>
      <c r="J15" s="33">
        <f>IF($D15="",0,IF(J$4&gt;=$D15,$E15,0))</f>
        <v/>
      </c>
      <c r="K15" s="33">
        <f>IF($D15="",0,IF(K$4&gt;=$D15,$E15,0))</f>
        <v/>
      </c>
      <c r="L15" s="33">
        <f>IF($D15="",0,IF(L$4&gt;=$D15,$E15,0))</f>
        <v/>
      </c>
      <c r="M15" s="33">
        <f>IF($D15="",0,IF(M$4&gt;=$D15,$E15,0))</f>
        <v/>
      </c>
      <c r="N15" s="33">
        <f>IF($D15="",0,IF(N$4&gt;=$D15,$E15,0))</f>
        <v/>
      </c>
      <c r="O15" s="33">
        <f>IF($D15="",0,IF(O$4&gt;=$D15,$E15,0))</f>
        <v/>
      </c>
      <c r="P15" s="33">
        <f>IF($D15="",0,IF(P$4&gt;=$D15,$E15,0))</f>
        <v/>
      </c>
      <c r="Q15" s="33">
        <f>IF($D15="",0,IF(Q$4&gt;=$D15,$E15,0))</f>
        <v/>
      </c>
      <c r="R15" s="33">
        <f>IF($D15="",0,IF(R$4&gt;=$D15,$E15,0))</f>
        <v/>
      </c>
      <c r="S15" s="33">
        <f>IF($D15="",0,IF(S$4&gt;=$D15,$E15,0))</f>
        <v/>
      </c>
      <c r="T15" s="33">
        <f>IF($D15="",0,IF(T$4&gt;=$D15,$E15,0))</f>
        <v/>
      </c>
      <c r="U15" s="33">
        <f>IF($D15="",0,IF(U$4&gt;=$D15,$E15,0))</f>
        <v/>
      </c>
      <c r="V15" s="33">
        <f>IF($D15="",0,IF(V$4&gt;=$D15,$E15,0))</f>
        <v/>
      </c>
      <c r="W15" s="33">
        <f>IF($D15="",0,IF(W$4&gt;=$D15,$E15,0))</f>
        <v/>
      </c>
      <c r="X15" s="33">
        <f>IF($D15="",0,IF(X$4&gt;=$D15,$E15,0))</f>
        <v/>
      </c>
      <c r="Y15" s="33">
        <f>IF($D15="",0,IF(Y$4&gt;=$D15,$E15,0))</f>
        <v/>
      </c>
      <c r="Z15" s="23">
        <f>SUM(H15:Y15)</f>
        <v/>
      </c>
    </row>
    <row r="16">
      <c r="A16" s="6" t="n"/>
      <c r="B16" s="19" t="n"/>
      <c r="C16" s="19" t="n"/>
      <c r="D16" s="83" t="n"/>
      <c r="E16" s="64" t="n"/>
      <c r="F16" s="6" t="n"/>
      <c r="G16" s="19" t="n"/>
      <c r="H16" s="33">
        <f>IF($D16="",0,IF(H$4&gt;=$D16,$E16,0))</f>
        <v/>
      </c>
      <c r="I16" s="33">
        <f>IF($D16="",0,IF(I$4&gt;=$D16,$E16,0))</f>
        <v/>
      </c>
      <c r="J16" s="33">
        <f>IF($D16="",0,IF(J$4&gt;=$D16,$E16,0))</f>
        <v/>
      </c>
      <c r="K16" s="33">
        <f>IF($D16="",0,IF(K$4&gt;=$D16,$E16,0))</f>
        <v/>
      </c>
      <c r="L16" s="33">
        <f>IF($D16="",0,IF(L$4&gt;=$D16,$E16,0))</f>
        <v/>
      </c>
      <c r="M16" s="33">
        <f>IF($D16="",0,IF(M$4&gt;=$D16,$E16,0))</f>
        <v/>
      </c>
      <c r="N16" s="33">
        <f>IF($D16="",0,IF(N$4&gt;=$D16,$E16,0))</f>
        <v/>
      </c>
      <c r="O16" s="33">
        <f>IF($D16="",0,IF(O$4&gt;=$D16,$E16,0))</f>
        <v/>
      </c>
      <c r="P16" s="33">
        <f>IF($D16="",0,IF(P$4&gt;=$D16,$E16,0))</f>
        <v/>
      </c>
      <c r="Q16" s="33">
        <f>IF($D16="",0,IF(Q$4&gt;=$D16,$E16,0))</f>
        <v/>
      </c>
      <c r="R16" s="33">
        <f>IF($D16="",0,IF(R$4&gt;=$D16,$E16,0))</f>
        <v/>
      </c>
      <c r="S16" s="33">
        <f>IF($D16="",0,IF(S$4&gt;=$D16,$E16,0))</f>
        <v/>
      </c>
      <c r="T16" s="33">
        <f>IF($D16="",0,IF(T$4&gt;=$D16,$E16,0))</f>
        <v/>
      </c>
      <c r="U16" s="33">
        <f>IF($D16="",0,IF(U$4&gt;=$D16,$E16,0))</f>
        <v/>
      </c>
      <c r="V16" s="33">
        <f>IF($D16="",0,IF(V$4&gt;=$D16,$E16,0))</f>
        <v/>
      </c>
      <c r="W16" s="33">
        <f>IF($D16="",0,IF(W$4&gt;=$D16,$E16,0))</f>
        <v/>
      </c>
      <c r="X16" s="33">
        <f>IF($D16="",0,IF(X$4&gt;=$D16,$E16,0))</f>
        <v/>
      </c>
      <c r="Y16" s="33">
        <f>IF($D16="",0,IF(Y$4&gt;=$D16,$E16,0))</f>
        <v/>
      </c>
      <c r="Z16" s="23">
        <f>SUM(H16:Y16)</f>
        <v/>
      </c>
    </row>
    <row r="17">
      <c r="A17" s="38" t="inlineStr">
        <is>
          <t>Monthly people cost — total (₹)</t>
        </is>
      </c>
      <c r="B17" s="24" t="n"/>
      <c r="C17" s="24" t="n"/>
      <c r="D17" s="24" t="n"/>
      <c r="E17" s="24" t="n"/>
      <c r="F17" s="24" t="n"/>
      <c r="G17" s="24" t="n"/>
      <c r="H17" s="23">
        <f>SUM(H5:H16)</f>
        <v/>
      </c>
      <c r="I17" s="23">
        <f>SUM(I5:I16)</f>
        <v/>
      </c>
      <c r="J17" s="23">
        <f>SUM(J5:J16)</f>
        <v/>
      </c>
      <c r="K17" s="23">
        <f>SUM(K5:K16)</f>
        <v/>
      </c>
      <c r="L17" s="23">
        <f>SUM(L5:L16)</f>
        <v/>
      </c>
      <c r="M17" s="23">
        <f>SUM(M5:M16)</f>
        <v/>
      </c>
      <c r="N17" s="23">
        <f>SUM(N5:N16)</f>
        <v/>
      </c>
      <c r="O17" s="23">
        <f>SUM(O5:O16)</f>
        <v/>
      </c>
      <c r="P17" s="23">
        <f>SUM(P5:P16)</f>
        <v/>
      </c>
      <c r="Q17" s="23">
        <f>SUM(Q5:Q16)</f>
        <v/>
      </c>
      <c r="R17" s="23">
        <f>SUM(R5:R16)</f>
        <v/>
      </c>
      <c r="S17" s="23">
        <f>SUM(S5:S16)</f>
        <v/>
      </c>
      <c r="T17" s="23">
        <f>SUM(T5:T16)</f>
        <v/>
      </c>
      <c r="U17" s="23">
        <f>SUM(U5:U16)</f>
        <v/>
      </c>
      <c r="V17" s="23">
        <f>SUM(V5:V16)</f>
        <v/>
      </c>
      <c r="W17" s="23">
        <f>SUM(W5:W16)</f>
        <v/>
      </c>
      <c r="X17" s="23">
        <f>SUM(X5:X16)</f>
        <v/>
      </c>
      <c r="Y17" s="23">
        <f>SUM(Y5:Y16)</f>
        <v/>
      </c>
      <c r="Z17" s="23">
        <f>SUM(H17:Y17)</f>
        <v/>
      </c>
    </row>
    <row r="18">
      <c r="A18" s="38" t="inlineStr">
        <is>
          <t>Cumulative people cost (₹)</t>
        </is>
      </c>
      <c r="B18" s="24" t="n"/>
      <c r="C18" s="24" t="n"/>
      <c r="D18" s="24" t="n"/>
      <c r="E18" s="24" t="n"/>
      <c r="F18" s="24" t="n"/>
      <c r="G18" s="24" t="n"/>
      <c r="H18" s="23">
        <f>H17</f>
        <v/>
      </c>
      <c r="I18" s="23">
        <f>H18+I17</f>
        <v/>
      </c>
      <c r="J18" s="23">
        <f>I18+J17</f>
        <v/>
      </c>
      <c r="K18" s="23">
        <f>J18+K17</f>
        <v/>
      </c>
      <c r="L18" s="23">
        <f>K18+L17</f>
        <v/>
      </c>
      <c r="M18" s="23">
        <f>L18+M17</f>
        <v/>
      </c>
      <c r="N18" s="23">
        <f>M18+N17</f>
        <v/>
      </c>
      <c r="O18" s="23">
        <f>N18+O17</f>
        <v/>
      </c>
      <c r="P18" s="23">
        <f>O18+P17</f>
        <v/>
      </c>
      <c r="Q18" s="23">
        <f>P18+Q17</f>
        <v/>
      </c>
      <c r="R18" s="23">
        <f>Q18+R17</f>
        <v/>
      </c>
      <c r="S18" s="23">
        <f>R18+S17</f>
        <v/>
      </c>
      <c r="T18" s="23">
        <f>S18+T17</f>
        <v/>
      </c>
      <c r="U18" s="23">
        <f>T18+U17</f>
        <v/>
      </c>
      <c r="V18" s="23">
        <f>U18+V17</f>
        <v/>
      </c>
      <c r="W18" s="23">
        <f>V18+W17</f>
        <v/>
      </c>
      <c r="X18" s="23">
        <f>W18+X17</f>
        <v/>
      </c>
      <c r="Y18" s="23">
        <f>X18+Y17</f>
        <v/>
      </c>
      <c r="Z18" s="23">
        <f>Y18</f>
        <v/>
      </c>
    </row>
    <row r="19">
      <c r="A19" s="38" t="inlineStr">
        <is>
          <t>Active headcount (roles with cost &gt; 0)</t>
        </is>
      </c>
      <c r="B19" s="24" t="n"/>
      <c r="C19" s="24" t="n"/>
      <c r="D19" s="24" t="n"/>
      <c r="E19" s="24" t="n"/>
      <c r="F19" s="24" t="n"/>
      <c r="G19" s="24" t="n"/>
      <c r="H19" s="47">
        <f>COUNTIF(H5:H16,"&gt;0")</f>
        <v/>
      </c>
      <c r="I19" s="47">
        <f>COUNTIF(I5:I16,"&gt;0")</f>
        <v/>
      </c>
      <c r="J19" s="47">
        <f>COUNTIF(J5:J16,"&gt;0")</f>
        <v/>
      </c>
      <c r="K19" s="47">
        <f>COUNTIF(K5:K16,"&gt;0")</f>
        <v/>
      </c>
      <c r="L19" s="47">
        <f>COUNTIF(L5:L16,"&gt;0")</f>
        <v/>
      </c>
      <c r="M19" s="47">
        <f>COUNTIF(M5:M16,"&gt;0")</f>
        <v/>
      </c>
      <c r="N19" s="47">
        <f>COUNTIF(N5:N16,"&gt;0")</f>
        <v/>
      </c>
      <c r="O19" s="47">
        <f>COUNTIF(O5:O16,"&gt;0")</f>
        <v/>
      </c>
      <c r="P19" s="47">
        <f>COUNTIF(P5:P16,"&gt;0")</f>
        <v/>
      </c>
      <c r="Q19" s="47">
        <f>COUNTIF(Q5:Q16,"&gt;0")</f>
        <v/>
      </c>
      <c r="R19" s="47">
        <f>COUNTIF(R5:R16,"&gt;0")</f>
        <v/>
      </c>
      <c r="S19" s="47">
        <f>COUNTIF(S5:S16,"&gt;0")</f>
        <v/>
      </c>
      <c r="T19" s="47">
        <f>COUNTIF(T5:T16,"&gt;0")</f>
        <v/>
      </c>
      <c r="U19" s="47">
        <f>COUNTIF(U5:U16,"&gt;0")</f>
        <v/>
      </c>
      <c r="V19" s="47">
        <f>COUNTIF(V5:V16,"&gt;0")</f>
        <v/>
      </c>
      <c r="W19" s="47">
        <f>COUNTIF(W5:W16,"&gt;0")</f>
        <v/>
      </c>
      <c r="X19" s="47">
        <f>COUNTIF(X5:X16,"&gt;0")</f>
        <v/>
      </c>
      <c r="Y19" s="47">
        <f>COUNTIF(Y5:Y16,"&gt;0")</f>
        <v/>
      </c>
      <c r="Z19" s="47">
        <f>MAX(H19:Y19)</f>
        <v/>
      </c>
    </row>
    <row r="21">
      <c r="A21" s="40" t="inlineStr">
        <is>
          <t>Tip: the M12 total is the run-rate to carry into the annual budget; cumulative M18 is the cash the plan consumes (compare with the Runway tab).</t>
        </is>
      </c>
    </row>
  </sheetData>
  <mergeCells count="2">
    <mergeCell ref="A1:J1"/>
    <mergeCell ref="A2:J2"/>
  </mergeCells>
  <conditionalFormatting sqref="G5:G16">
    <cfRule type="cellIs" priority="1" operator="equal" dxfId="1">
      <formula>"Hired"</formula>
    </cfRule>
    <cfRule type="cellIs" priority="2" operator="equal" dxfId="2">
      <formula>"Open"</formula>
    </cfRule>
  </conditionalFormatting>
  <conditionalFormatting sqref="H5:Y16">
    <cfRule type="expression" priority="3" dxfId="6">
      <formula>H5&gt;0</formula>
    </cfRule>
  </conditionalFormatting>
  <dataValidations count="3">
    <dataValidation sqref="C5:C16" showDropDown="0" showInputMessage="0" showErrorMessage="1" allowBlank="1" errorTitle="Pick from list" error="Please pick a value from the dropdown." type="list">
      <formula1>"Employee,Contractor,Intern"</formula1>
    </dataValidation>
    <dataValidation sqref="G5:G16" showDropDown="0" showInputMessage="0" showErrorMessage="1" allowBlank="1" errorTitle="Pick from list" error="Please pick a value from the dropdown." type="list">
      <formula1>"Planned,Open,Hired,Deferred,Cancelled"</formula1>
    </dataValidation>
    <dataValidation sqref="D5:D16" showDropDown="0" showInputMessage="0" showErrorMessage="1" allowBlank="1" error="Enter a whole number between 1 and 18." type="whole" operator="between">
      <formula1>1</formula1>
      <formula2>18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75569"/>
    <outlinePr summaryBelow="1" summaryRight="1"/>
    <pageSetUpPr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44" customWidth="1" min="3" max="3"/>
    <col width="44" customWidth="1" min="4" max="4"/>
    <col width="40" customWidth="1" min="5" max="5"/>
    <col width="18" customWidth="1" min="6" max="6"/>
    <col width="14" customWidth="1" min="7" max="7"/>
    <col width="12" customWidth="1" min="8" max="8"/>
    <col width="34" customWidth="1" min="9" max="9"/>
    <col width="22" customWidth="1" min="10" max="10"/>
  </cols>
  <sheetData>
    <row r="1" ht="40" customHeight="1">
      <c r="A1" s="1" t="inlineStr">
        <is>
          <t>Decision Log — every decision that changes money, people, product direction or policy: date, context, options, who decided, door type, review date, outcome (T09).</t>
        </is>
      </c>
    </row>
    <row r="2" ht="30" customHeight="1">
      <c r="A2" s="2" t="inlineStr">
        <is>
          <t>Example rows (grey italic) are illustrative — replace with real data. Yellow = input, blue = formula (do not overwrite). Log one-way doors always; two-way doors when &gt; ₹25k or cross-functional. Review dates in the past with no outcome turn amber.</t>
        </is>
      </c>
    </row>
    <row r="4" ht="32" customHeight="1">
      <c r="A4" s="3" t="inlineStr">
        <is>
          <t>#</t>
        </is>
      </c>
      <c r="B4" s="3" t="inlineStr">
        <is>
          <t>Date</t>
        </is>
      </c>
      <c r="C4" s="3" t="inlineStr">
        <is>
          <t>Decision</t>
        </is>
      </c>
      <c r="D4" s="3" t="inlineStr">
        <is>
          <t>Context (why now)</t>
        </is>
      </c>
      <c r="E4" s="3" t="inlineStr">
        <is>
          <t>Options considered</t>
        </is>
      </c>
      <c r="F4" s="3" t="inlineStr">
        <is>
          <t>Decided by</t>
        </is>
      </c>
      <c r="G4" s="3" t="inlineStr">
        <is>
          <t>Type (door)</t>
        </is>
      </c>
      <c r="H4" s="3" t="inlineStr">
        <is>
          <t>Review date</t>
        </is>
      </c>
      <c r="I4" s="3" t="inlineStr">
        <is>
          <t>Outcome / what happened</t>
        </is>
      </c>
      <c r="J4" s="3" t="inlineStr">
        <is>
          <t>Link (ADR / memo)</t>
        </is>
      </c>
    </row>
    <row r="5">
      <c r="A5" s="84" t="n">
        <v>1</v>
      </c>
      <c r="B5" s="85" t="n">
        <v>46232</v>
      </c>
      <c r="C5" s="56" t="inlineStr">
        <is>
          <t>Monetisation direction: company-level subscription per GSTIN, unlimited users, all billing on the web, app gated server-side; prices to be decided later.</t>
        </is>
      </c>
      <c r="D5" s="56" t="inlineStr">
        <is>
          <t>Product live and free so far; app-store fee economics favour web billing; dealer companies budget per GSTIN, not per user.</t>
        </is>
      </c>
      <c r="E5" s="56" t="inlineStr">
        <is>
          <t>(a) per-user seats; (b) per-GSTIN company plan (chosen); (c) usage-based per invoice.</t>
        </is>
      </c>
      <c r="F5" s="56" t="inlineStr">
        <is>
          <t>Founders (all 3 directors)</t>
        </is>
      </c>
      <c r="G5" s="14" t="inlineStr">
        <is>
          <t>One-way door</t>
        </is>
      </c>
      <c r="H5" s="31" t="n">
        <v>46418</v>
      </c>
      <c r="I5" s="56" t="n"/>
      <c r="J5" s="56" t="inlineStr">
        <is>
          <t>vault: app-store-economics/08-dzzlo-subscription-strategy</t>
        </is>
      </c>
    </row>
    <row r="6">
      <c r="A6" s="84" t="n">
        <v>2</v>
      </c>
      <c r="B6" s="85" t="n">
        <v>46253</v>
      </c>
      <c r="C6" s="56" t="inlineStr">
        <is>
          <t>Adopt this workbook in Google Sheets as the scorecard / OKR / cash system until a Metabase dashboard is justified.</t>
        </is>
      </c>
      <c r="D6" s="56" t="inlineStr">
        <is>
          <t>No operating cadence yet; need one place with one owner per tab; must be free and exportable.</t>
        </is>
      </c>
      <c r="E6" s="56" t="inlineStr">
        <is>
          <t>(a) Notion; (b) Google Sheets (chosen); (c) build dashboards in Metabase now.</t>
        </is>
      </c>
      <c r="F6" s="56" t="inlineStr">
        <is>
          <t>COO</t>
        </is>
      </c>
      <c r="G6" s="14" t="inlineStr">
        <is>
          <t>Two-way door</t>
        </is>
      </c>
      <c r="H6" s="31" t="n">
        <v>46356</v>
      </c>
      <c r="I6" s="56" t="n"/>
      <c r="J6" s="56" t="inlineStr">
        <is>
          <t>COO-Docs lesson 16 / T05</t>
        </is>
      </c>
    </row>
    <row r="7">
      <c r="A7" s="84" t="n">
        <v>3</v>
      </c>
      <c r="B7" s="85" t="n">
        <v>46253</v>
      </c>
      <c r="C7" s="56" t="inlineStr">
        <is>
          <t>Standardise on ERPNext for accounting + CRM; hosting choice (Frappe Cloud vs self-hosted Docker) to be decided after a 30-day trial.</t>
        </is>
      </c>
      <c r="D7" s="56" t="inlineStr">
        <is>
          <t>Tally sits with the CA; no CRM; invoicing will start once priced; want one system of record.</t>
        </is>
      </c>
      <c r="E7" s="56" t="inlineStr">
        <is>
          <t>(a) Zoho Books + Zoho CRM; (b) ERPNext (chosen); (c) keep Tally + spreadsheets.</t>
        </is>
      </c>
      <c r="F7" s="56" t="inlineStr">
        <is>
          <t>CEO/CTO + COO</t>
        </is>
      </c>
      <c r="G7" s="14" t="inlineStr">
        <is>
          <t>Two-way door</t>
        </is>
      </c>
      <c r="H7" s="31" t="n">
        <v>46295</v>
      </c>
      <c r="I7" s="56" t="n"/>
      <c r="J7" s="56" t="inlineStr">
        <is>
          <t>ERPNext Implementation Guide</t>
        </is>
      </c>
    </row>
    <row r="8">
      <c r="A8" s="4" t="n"/>
      <c r="B8" s="86" t="n"/>
      <c r="C8" s="6" t="n"/>
      <c r="D8" s="6" t="n"/>
      <c r="E8" s="6" t="n"/>
      <c r="F8" s="6" t="n"/>
      <c r="G8" s="19" t="n"/>
      <c r="H8" s="63" t="n"/>
      <c r="I8" s="6" t="n"/>
      <c r="J8" s="6" t="n"/>
    </row>
    <row r="9">
      <c r="A9" s="4" t="n"/>
      <c r="B9" s="86" t="n"/>
      <c r="C9" s="6" t="n"/>
      <c r="D9" s="6" t="n"/>
      <c r="E9" s="6" t="n"/>
      <c r="F9" s="6" t="n"/>
      <c r="G9" s="19" t="n"/>
      <c r="H9" s="63" t="n"/>
      <c r="I9" s="6" t="n"/>
      <c r="J9" s="6" t="n"/>
    </row>
    <row r="10">
      <c r="A10" s="4" t="n"/>
      <c r="B10" s="86" t="n"/>
      <c r="C10" s="6" t="n"/>
      <c r="D10" s="6" t="n"/>
      <c r="E10" s="6" t="n"/>
      <c r="F10" s="6" t="n"/>
      <c r="G10" s="19" t="n"/>
      <c r="H10" s="63" t="n"/>
      <c r="I10" s="6" t="n"/>
      <c r="J10" s="6" t="n"/>
    </row>
    <row r="11">
      <c r="A11" s="4" t="n"/>
      <c r="B11" s="86" t="n"/>
      <c r="C11" s="6" t="n"/>
      <c r="D11" s="6" t="n"/>
      <c r="E11" s="6" t="n"/>
      <c r="F11" s="6" t="n"/>
      <c r="G11" s="19" t="n"/>
      <c r="H11" s="63" t="n"/>
      <c r="I11" s="6" t="n"/>
      <c r="J11" s="6" t="n"/>
    </row>
    <row r="12">
      <c r="A12" s="4" t="n"/>
      <c r="B12" s="86" t="n"/>
      <c r="C12" s="6" t="n"/>
      <c r="D12" s="6" t="n"/>
      <c r="E12" s="6" t="n"/>
      <c r="F12" s="6" t="n"/>
      <c r="G12" s="19" t="n"/>
      <c r="H12" s="63" t="n"/>
      <c r="I12" s="6" t="n"/>
      <c r="J12" s="6" t="n"/>
    </row>
    <row r="13">
      <c r="A13" s="4" t="n"/>
      <c r="B13" s="86" t="n"/>
      <c r="C13" s="6" t="n"/>
      <c r="D13" s="6" t="n"/>
      <c r="E13" s="6" t="n"/>
      <c r="F13" s="6" t="n"/>
      <c r="G13" s="19" t="n"/>
      <c r="H13" s="63" t="n"/>
      <c r="I13" s="6" t="n"/>
      <c r="J13" s="6" t="n"/>
    </row>
    <row r="14">
      <c r="A14" s="4" t="n"/>
      <c r="B14" s="86" t="n"/>
      <c r="C14" s="6" t="n"/>
      <c r="D14" s="6" t="n"/>
      <c r="E14" s="6" t="n"/>
      <c r="F14" s="6" t="n"/>
      <c r="G14" s="19" t="n"/>
      <c r="H14" s="63" t="n"/>
      <c r="I14" s="6" t="n"/>
      <c r="J14" s="6" t="n"/>
    </row>
    <row r="15">
      <c r="A15" s="4" t="n"/>
      <c r="B15" s="86" t="n"/>
      <c r="C15" s="6" t="n"/>
      <c r="D15" s="6" t="n"/>
      <c r="E15" s="6" t="n"/>
      <c r="F15" s="6" t="n"/>
      <c r="G15" s="19" t="n"/>
      <c r="H15" s="63" t="n"/>
      <c r="I15" s="6" t="n"/>
      <c r="J15" s="6" t="n"/>
    </row>
    <row r="16">
      <c r="A16" s="4" t="n"/>
      <c r="B16" s="86" t="n"/>
      <c r="C16" s="6" t="n"/>
      <c r="D16" s="6" t="n"/>
      <c r="E16" s="6" t="n"/>
      <c r="F16" s="6" t="n"/>
      <c r="G16" s="19" t="n"/>
      <c r="H16" s="63" t="n"/>
      <c r="I16" s="6" t="n"/>
      <c r="J16" s="6" t="n"/>
    </row>
    <row r="17">
      <c r="A17" s="4" t="n"/>
      <c r="B17" s="86" t="n"/>
      <c r="C17" s="6" t="n"/>
      <c r="D17" s="6" t="n"/>
      <c r="E17" s="6" t="n"/>
      <c r="F17" s="6" t="n"/>
      <c r="G17" s="19" t="n"/>
      <c r="H17" s="63" t="n"/>
      <c r="I17" s="6" t="n"/>
      <c r="J17" s="6" t="n"/>
    </row>
    <row r="18">
      <c r="A18" s="4" t="n"/>
      <c r="B18" s="86" t="n"/>
      <c r="C18" s="6" t="n"/>
      <c r="D18" s="6" t="n"/>
      <c r="E18" s="6" t="n"/>
      <c r="F18" s="6" t="n"/>
      <c r="G18" s="19" t="n"/>
      <c r="H18" s="63" t="n"/>
      <c r="I18" s="6" t="n"/>
      <c r="J18" s="6" t="n"/>
    </row>
    <row r="19">
      <c r="A19" s="4" t="n"/>
      <c r="B19" s="86" t="n"/>
      <c r="C19" s="6" t="n"/>
      <c r="D19" s="6" t="n"/>
      <c r="E19" s="6" t="n"/>
      <c r="F19" s="6" t="n"/>
      <c r="G19" s="19" t="n"/>
      <c r="H19" s="63" t="n"/>
      <c r="I19" s="6" t="n"/>
      <c r="J19" s="6" t="n"/>
    </row>
    <row r="20">
      <c r="A20" s="4" t="n"/>
      <c r="B20" s="86" t="n"/>
      <c r="C20" s="6" t="n"/>
      <c r="D20" s="6" t="n"/>
      <c r="E20" s="6" t="n"/>
      <c r="F20" s="6" t="n"/>
      <c r="G20" s="19" t="n"/>
      <c r="H20" s="63" t="n"/>
      <c r="I20" s="6" t="n"/>
      <c r="J20" s="6" t="n"/>
    </row>
    <row r="21">
      <c r="A21" s="4" t="n"/>
      <c r="B21" s="86" t="n"/>
      <c r="C21" s="6" t="n"/>
      <c r="D21" s="6" t="n"/>
      <c r="E21" s="6" t="n"/>
      <c r="F21" s="6" t="n"/>
      <c r="G21" s="19" t="n"/>
      <c r="H21" s="63" t="n"/>
      <c r="I21" s="6" t="n"/>
      <c r="J21" s="6" t="n"/>
    </row>
    <row r="22">
      <c r="A22" s="4" t="n"/>
      <c r="B22" s="86" t="n"/>
      <c r="C22" s="6" t="n"/>
      <c r="D22" s="6" t="n"/>
      <c r="E22" s="6" t="n"/>
      <c r="F22" s="6" t="n"/>
      <c r="G22" s="19" t="n"/>
      <c r="H22" s="63" t="n"/>
      <c r="I22" s="6" t="n"/>
      <c r="J22" s="6" t="n"/>
    </row>
    <row r="23">
      <c r="A23" s="4" t="n"/>
      <c r="B23" s="86" t="n"/>
      <c r="C23" s="6" t="n"/>
      <c r="D23" s="6" t="n"/>
      <c r="E23" s="6" t="n"/>
      <c r="F23" s="6" t="n"/>
      <c r="G23" s="19" t="n"/>
      <c r="H23" s="63" t="n"/>
      <c r="I23" s="6" t="n"/>
      <c r="J23" s="6" t="n"/>
    </row>
    <row r="24">
      <c r="A24" s="4" t="n"/>
      <c r="B24" s="86" t="n"/>
      <c r="C24" s="6" t="n"/>
      <c r="D24" s="6" t="n"/>
      <c r="E24" s="6" t="n"/>
      <c r="F24" s="6" t="n"/>
      <c r="G24" s="19" t="n"/>
      <c r="H24" s="63" t="n"/>
      <c r="I24" s="6" t="n"/>
      <c r="J24" s="6" t="n"/>
    </row>
  </sheetData>
  <autoFilter ref="A4:J24"/>
  <mergeCells count="2">
    <mergeCell ref="A2:F2"/>
    <mergeCell ref="A1:F1"/>
  </mergeCells>
  <conditionalFormatting sqref="H5:H24">
    <cfRule type="expression" priority="1" dxfId="2">
      <formula>IF(H5="",FALSE,IF(I5&lt;&gt;"",FALSE,H5&lt;TODAY()))</formula>
    </cfRule>
  </conditionalFormatting>
  <conditionalFormatting sqref="G5:G24">
    <cfRule type="cellIs" priority="2" operator="equal" dxfId="0">
      <formula>"One-way door"</formula>
    </cfRule>
  </conditionalFormatting>
  <dataValidations count="2">
    <dataValidation sqref="G5:G24" showDropDown="0" showInputMessage="0" showErrorMessage="1" allowBlank="1" errorTitle="Pick from list" error="Please pick a value from the dropdown." type="list">
      <formula1>"One-way door,Two-way door"</formula1>
    </dataValidation>
    <dataValidation sqref="F5:F24" showDropDown="0" showInputMessage="0" showErrorMessage="1" allowBlank="1" errorTitle="Pick from list" error="Please pick a value from the dropdown." type="list">
      <formula1>"Founders (all 3 directors),CEO/CTO,COO,CEO/CTO + COO,Domain director,Board"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75569"/>
    <outlinePr summaryBelow="1" summaryRight="1"/>
    <pageSetUpPr/>
  </sheetPr>
  <dimension ref="A1:H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1" customWidth="1" min="2" max="2"/>
    <col width="20" customWidth="1" min="3" max="3"/>
    <col width="20" customWidth="1" min="4" max="4"/>
    <col width="16" customWidth="1" min="5" max="5"/>
    <col width="30" customWidth="1" min="6" max="6"/>
    <col width="40" customWidth="1" min="7" max="7"/>
    <col width="48" customWidth="1" min="8" max="8"/>
  </cols>
  <sheetData>
    <row r="1" ht="40" customHeight="1">
      <c r="A1" s="1" t="inlineStr">
        <is>
          <t>Cadence Calendar — the operating rhythm: daily → weekly → monthly → quarterly → annual rituals, each with an owner, attendees and the artefact it produces (lesson 08).</t>
        </is>
      </c>
    </row>
    <row r="2" ht="18" customHeight="1">
      <c r="A2" s="2" t="inlineStr">
        <is>
          <t>Starter cadence for a 3–8 person team — trim to what you will actually run; copy the rows into Google Calendar with the artefact link in the event description.</t>
        </is>
      </c>
    </row>
    <row r="4" ht="32" customHeight="1">
      <c r="A4" s="3" t="inlineStr">
        <is>
          <t>Ritual</t>
        </is>
      </c>
      <c r="B4" s="3" t="inlineStr">
        <is>
          <t>Frequency</t>
        </is>
      </c>
      <c r="C4" s="3" t="inlineStr">
        <is>
          <t>Day / time</t>
        </is>
      </c>
      <c r="D4" s="3" t="inlineStr">
        <is>
          <t>Duration</t>
        </is>
      </c>
      <c r="E4" s="3" t="inlineStr">
        <is>
          <t>Owner</t>
        </is>
      </c>
      <c r="F4" s="3" t="inlineStr">
        <is>
          <t>Attendees</t>
        </is>
      </c>
      <c r="G4" s="3" t="inlineStr">
        <is>
          <t>Artefact / template</t>
        </is>
      </c>
      <c r="H4" s="3" t="inlineStr">
        <is>
          <t>Notes / rules</t>
        </is>
      </c>
    </row>
    <row r="5">
      <c r="A5" s="6" t="inlineStr">
        <is>
          <t>Daily async check-in (yesterday / today / blockers)</t>
        </is>
      </c>
      <c r="B5" s="19" t="inlineStr">
        <is>
          <t>Daily</t>
        </is>
      </c>
      <c r="C5" s="6" t="inlineStr">
        <is>
          <t>09:30, chat thread</t>
        </is>
      </c>
      <c r="D5" s="6" t="inlineStr">
        <is>
          <t>10 min</t>
        </is>
      </c>
      <c r="E5" s="19" t="inlineStr">
        <is>
          <t>COO</t>
        </is>
      </c>
      <c r="F5" s="6" t="inlineStr">
        <is>
          <t>Whole team</t>
        </is>
      </c>
      <c r="G5" s="6" t="inlineStr">
        <is>
          <t>Chat thread; blockers → issues list</t>
        </is>
      </c>
      <c r="H5" s="6" t="inlineStr">
        <is>
          <t>No meeting; reply by 10:00. WhatsApp only for dealer-facing work.</t>
        </is>
      </c>
    </row>
    <row r="6">
      <c r="A6" s="6" t="inlineStr">
        <is>
          <t>Weekly ops meeting (L10-style: scorecard → rocks → headlines → to-dos → issues)</t>
        </is>
      </c>
      <c r="B6" s="19" t="inlineStr">
        <is>
          <t>Weekly</t>
        </is>
      </c>
      <c r="C6" s="6" t="inlineStr">
        <is>
          <t>Mon 10:30</t>
        </is>
      </c>
      <c r="D6" s="6" t="inlineStr">
        <is>
          <t>90 min (30-min variant while 3 people)</t>
        </is>
      </c>
      <c r="E6" s="19" t="inlineStr">
        <is>
          <t>COO</t>
        </is>
      </c>
      <c r="F6" s="6" t="inlineStr">
        <is>
          <t>CEO/CTO, Domain director, Support/Ops, Developer</t>
        </is>
      </c>
      <c r="G6" s="6" t="inlineStr">
        <is>
          <t>T03 agenda; KPI Scorecard; Decision Log</t>
        </is>
      </c>
      <c r="H6" s="6" t="inlineStr">
        <is>
          <t>The heartbeat. Scorecard must be filled by 10:00.</t>
        </is>
      </c>
    </row>
    <row r="7">
      <c r="A7" s="6" t="inlineStr">
        <is>
          <t>Weekly scorecard update</t>
        </is>
      </c>
      <c r="B7" s="19" t="inlineStr">
        <is>
          <t>Weekly</t>
        </is>
      </c>
      <c r="C7" s="6" t="inlineStr">
        <is>
          <t>Mon 10:00 deadline</t>
        </is>
      </c>
      <c r="D7" s="6" t="inlineStr">
        <is>
          <t>30 min</t>
        </is>
      </c>
      <c r="E7" s="19" t="inlineStr">
        <is>
          <t>Each metric owner</t>
        </is>
      </c>
      <c r="F7" s="6" t="inlineStr">
        <is>
          <t>—</t>
        </is>
      </c>
      <c r="G7" s="6" t="inlineStr">
        <is>
          <t>KPI Scorecard tab (T05)</t>
        </is>
      </c>
      <c r="H7" s="6" t="inlineStr">
        <is>
          <t>One owner enters each row; no metric without a source query.</t>
        </is>
      </c>
    </row>
    <row r="8">
      <c r="A8" s="6" t="inlineStr">
        <is>
          <t>Weekly 1:1s (COO with each direct report; CEO–COO 1:1)</t>
        </is>
      </c>
      <c r="B8" s="19" t="inlineStr">
        <is>
          <t>Weekly</t>
        </is>
      </c>
      <c r="C8" s="6" t="inlineStr">
        <is>
          <t>Tue/Wed, 30-min slots</t>
        </is>
      </c>
      <c r="D8" s="6" t="inlineStr">
        <is>
          <t>30 min each</t>
        </is>
      </c>
      <c r="E8" s="19" t="inlineStr">
        <is>
          <t>COO</t>
        </is>
      </c>
      <c r="F8" s="6" t="inlineStr">
        <is>
          <t>Direct reports; CEO</t>
        </is>
      </c>
      <c r="G8" s="6" t="inlineStr">
        <is>
          <t>T04 running doc</t>
        </is>
      </c>
      <c r="H8" s="6" t="inlineStr">
        <is>
          <t>Their agenda first; actions logged.</t>
        </is>
      </c>
    </row>
    <row r="9">
      <c r="A9" s="6" t="inlineStr">
        <is>
          <t>Weekly pipeline review (lead → demo → pilot → paid)</t>
        </is>
      </c>
      <c r="B9" s="19" t="inlineStr">
        <is>
          <t>Weekly</t>
        </is>
      </c>
      <c r="C9" s="6" t="inlineStr">
        <is>
          <t>Thu 16:00</t>
        </is>
      </c>
      <c r="D9" s="6" t="inlineStr">
        <is>
          <t>30 min</t>
        </is>
      </c>
      <c r="E9" s="19" t="inlineStr">
        <is>
          <t>Domain director</t>
        </is>
      </c>
      <c r="F9" s="6" t="inlineStr">
        <is>
          <t>COO, CEO/CTO</t>
        </is>
      </c>
      <c r="G9" s="6" t="inlineStr">
        <is>
          <t>ERPNext CRM; Hiring Pipeline for sales hires</t>
        </is>
      </c>
      <c r="H9" s="6" t="inlineStr">
        <is>
          <t>Pipeline math rows feed the scorecard.</t>
        </is>
      </c>
    </row>
    <row r="10">
      <c r="A10" s="6" t="inlineStr">
        <is>
          <t>Weekly cash check &amp; 13-week forecast refresh</t>
        </is>
      </c>
      <c r="B10" s="19" t="inlineStr">
        <is>
          <t>Weekly</t>
        </is>
      </c>
      <c r="C10" s="6" t="inlineStr">
        <is>
          <t>Fri 17:00</t>
        </is>
      </c>
      <c r="D10" s="6" t="inlineStr">
        <is>
          <t>20 min</t>
        </is>
      </c>
      <c r="E10" s="19" t="inlineStr">
        <is>
          <t>COO</t>
        </is>
      </c>
      <c r="F10" s="6" t="inlineStr">
        <is>
          <t>CEO/CTO</t>
        </is>
      </c>
      <c r="G10" s="6" t="inlineStr">
        <is>
          <t>Runway &amp; 13-Week Cash tab (T20)</t>
        </is>
      </c>
      <c r="H10" s="6" t="inlineStr">
        <is>
          <t>Bank balance in; forecast rolled one week.</t>
        </is>
      </c>
    </row>
    <row r="11">
      <c r="A11" s="6" t="inlineStr">
        <is>
          <t>Weekly business review note (1 page)</t>
        </is>
      </c>
      <c r="B11" s="19" t="inlineStr">
        <is>
          <t>Weekly</t>
        </is>
      </c>
      <c r="C11" s="6" t="inlineStr">
        <is>
          <t>Fri 18:00</t>
        </is>
      </c>
      <c r="D11" s="6" t="inlineStr">
        <is>
          <t>30 min to write</t>
        </is>
      </c>
      <c r="E11" s="19" t="inlineStr">
        <is>
          <t>COO</t>
        </is>
      </c>
      <c r="F11" s="6" t="inlineStr">
        <is>
          <t>Founders</t>
        </is>
      </c>
      <c r="G11" s="6" t="inlineStr">
        <is>
          <t>T28 WBR</t>
        </is>
      </c>
      <c r="H11" s="6" t="inlineStr">
        <is>
          <t>Numbers before narrative; top 3 issues; decisions.</t>
        </is>
      </c>
    </row>
    <row r="12">
      <c r="A12" s="6" t="inlineStr">
        <is>
          <t>Monthly business review (scorecard month, BvA, OKR check, risks)</t>
        </is>
      </c>
      <c r="B12" s="19" t="inlineStr">
        <is>
          <t>Monthly</t>
        </is>
      </c>
      <c r="C12" s="6" t="inlineStr">
        <is>
          <t>1st Monday after close</t>
        </is>
      </c>
      <c r="D12" s="6" t="inlineStr">
        <is>
          <t>60 min</t>
        </is>
      </c>
      <c r="E12" s="19" t="inlineStr">
        <is>
          <t>COO</t>
        </is>
      </c>
      <c r="F12" s="6" t="inlineStr">
        <is>
          <t>Founders, CA (for close)</t>
        </is>
      </c>
      <c r="G12" s="6" t="inlineStr">
        <is>
          <t>Budget vs Actual; OKR Tracker; Risk Register; T23 update</t>
        </is>
      </c>
      <c r="H12" s="6" t="inlineStr">
        <is>
          <t>Same numbers go into the monthly update to mentors/CA.</t>
        </is>
      </c>
    </row>
    <row r="13">
      <c r="A13" s="6" t="inlineStr">
        <is>
          <t>Monthly all-hands</t>
        </is>
      </c>
      <c r="B13" s="19" t="inlineStr">
        <is>
          <t>Monthly</t>
        </is>
      </c>
      <c r="C13" s="6" t="inlineStr">
        <is>
          <t>1st Friday 16:00</t>
        </is>
      </c>
      <c r="D13" s="6" t="inlineStr">
        <is>
          <t>45 min</t>
        </is>
      </c>
      <c r="E13" s="19" t="inlineStr">
        <is>
          <t>CEO/CTO</t>
        </is>
      </c>
      <c r="F13" s="6" t="inlineStr">
        <is>
          <t>Whole team</t>
        </is>
      </c>
      <c r="G13" s="6" t="inlineStr">
        <is>
          <t>T24 agenda</t>
        </is>
      </c>
      <c r="H13" s="6" t="inlineStr">
        <is>
          <t>Numbers, wins, priorities, people, Q&amp;A, recognition.</t>
        </is>
      </c>
    </row>
    <row r="14">
      <c r="A14" s="6" t="inlineStr">
        <is>
          <t>Monthly close with the CA (books, GST/TDS, MIS)</t>
        </is>
      </c>
      <c r="B14" s="19" t="inlineStr">
        <is>
          <t>Monthly</t>
        </is>
      </c>
      <c r="C14" s="6" t="inlineStr">
        <is>
          <t>By the 10th</t>
        </is>
      </c>
      <c r="D14" s="6" t="inlineStr">
        <is>
          <t>2 h</t>
        </is>
      </c>
      <c r="E14" s="19" t="inlineStr">
        <is>
          <t>COO</t>
        </is>
      </c>
      <c r="F14" s="6" t="inlineStr">
        <is>
          <t>CA/CS (external)</t>
        </is>
      </c>
      <c r="G14" s="6" t="inlineStr">
        <is>
          <t>Monthly close checklist (lesson 06)</t>
        </is>
      </c>
      <c r="H14" s="6" t="inlineStr">
        <is>
          <t>COO supplies bank statements, invoices, payroll data.</t>
        </is>
      </c>
    </row>
    <row r="15">
      <c r="A15" s="6" t="inlineStr">
        <is>
          <t>Monthly compliance-calendar run</t>
        </is>
      </c>
      <c r="B15" s="19" t="inlineStr">
        <is>
          <t>Monthly</t>
        </is>
      </c>
      <c r="C15" s="6" t="inlineStr">
        <is>
          <t>1st working day</t>
        </is>
      </c>
      <c r="D15" s="6" t="inlineStr">
        <is>
          <t>30 min</t>
        </is>
      </c>
      <c r="E15" s="19" t="inlineStr">
        <is>
          <t>COO</t>
        </is>
      </c>
      <c r="F15" s="6" t="inlineStr">
        <is>
          <t>CA/CS (external)</t>
        </is>
      </c>
      <c r="G15" s="6" t="inlineStr">
        <is>
          <t>Compliance Calendar tab (T16)</t>
        </is>
      </c>
      <c r="H15" s="6" t="inlineStr">
        <is>
          <t>Roll dates, update statuses, alert on &lt; 30 days.</t>
        </is>
      </c>
    </row>
    <row r="16">
      <c r="A16" s="6" t="inlineStr">
        <is>
          <t>Monthly investor / mentor / CA update</t>
        </is>
      </c>
      <c r="B16" s="19" t="inlineStr">
        <is>
          <t>Monthly</t>
        </is>
      </c>
      <c r="C16" s="6" t="inlineStr">
        <is>
          <t>By the 12th</t>
        </is>
      </c>
      <c r="D16" s="6" t="inlineStr">
        <is>
          <t>1 h to write</t>
        </is>
      </c>
      <c r="E16" s="19" t="inlineStr">
        <is>
          <t>CEO/CTO</t>
        </is>
      </c>
      <c r="F16" s="6" t="inlineStr">
        <is>
          <t>COO</t>
        </is>
      </c>
      <c r="G16" s="6" t="inlineStr">
        <is>
          <t>T23</t>
        </is>
      </c>
      <c r="H16" s="6" t="inlineStr">
        <is>
          <t>Discipline + fundraise readiness even while bootstrapped.</t>
        </is>
      </c>
    </row>
    <row r="17">
      <c r="A17" s="6" t="inlineStr">
        <is>
          <t>Quarterly planning &amp; review (half-day)</t>
        </is>
      </c>
      <c r="B17" s="19" t="inlineStr">
        <is>
          <t>Quarterly</t>
        </is>
      </c>
      <c r="C17" s="6" t="inlineStr">
        <is>
          <t>Last week of quarter</t>
        </is>
      </c>
      <c r="D17" s="6" t="inlineStr">
        <is>
          <t>4 h</t>
        </is>
      </c>
      <c r="E17" s="19" t="inlineStr">
        <is>
          <t>CEO/CTO</t>
        </is>
      </c>
      <c r="F17" s="6" t="inlineStr">
        <is>
          <t>Founders + leads</t>
        </is>
      </c>
      <c r="G17" s="6" t="inlineStr">
        <is>
          <t>T19 plan doc; OKR Tracker; Headcount Plan</t>
        </is>
      </c>
      <c r="H17" s="6" t="inlineStr">
        <is>
          <t>Score last quarter; set 3–5 rocks/OKRs; budget &amp; headcount changes.</t>
        </is>
      </c>
    </row>
    <row r="18">
      <c r="A18" s="6" t="inlineStr">
        <is>
          <t>Quarterly access / vendor / risk review</t>
        </is>
      </c>
      <c r="B18" s="19" t="inlineStr">
        <is>
          <t>Quarterly</t>
        </is>
      </c>
      <c r="C18" s="6" t="inlineStr">
        <is>
          <t>First week of quarter</t>
        </is>
      </c>
      <c r="D18" s="6" t="inlineStr">
        <is>
          <t>2 h</t>
        </is>
      </c>
      <c r="E18" s="19" t="inlineStr">
        <is>
          <t>COO</t>
        </is>
      </c>
      <c r="F18" s="6" t="inlineStr">
        <is>
          <t>CEO/CTO, Support/Ops</t>
        </is>
      </c>
      <c r="G18" s="6" t="inlineStr">
        <is>
          <t>Vendor &amp; Tool Register; Risk Register; access review checklist (lesson 07)</t>
        </is>
      </c>
      <c r="H18" s="6" t="inlineStr">
        <is>
          <t>Kill unused seats; rotate credentials; re-score risks.</t>
        </is>
      </c>
    </row>
    <row r="19">
      <c r="A19" s="6" t="inlineStr">
        <is>
          <t>Quarterly board meeting &amp; minutes</t>
        </is>
      </c>
      <c r="B19" s="19" t="inlineStr">
        <is>
          <t>Quarterly</t>
        </is>
      </c>
      <c r="C19" s="6" t="inlineStr">
        <is>
          <t>Per Compliance Calendar</t>
        </is>
      </c>
      <c r="D19" s="6" t="inlineStr">
        <is>
          <t>1 h</t>
        </is>
      </c>
      <c r="E19" s="19" t="inlineStr">
        <is>
          <t>CEO/CTO</t>
        </is>
      </c>
      <c r="F19" s="6" t="inlineStr">
        <is>
          <t>All 3 directors, CA/CS</t>
        </is>
      </c>
      <c r="G19" s="6" t="inlineStr">
        <is>
          <t>Minutes; MBP-1/DIR-8 at first meeting of FY</t>
        </is>
      </c>
      <c r="H19" s="6" t="inlineStr">
        <is>
          <t>Small-company minimum is 2/yr — we do 4 (VERIFY LIVE).</t>
        </is>
      </c>
    </row>
    <row r="20">
      <c r="A20" s="6" t="inlineStr">
        <is>
          <t>Annual plan &amp; budget</t>
        </is>
      </c>
      <c r="B20" s="19" t="inlineStr">
        <is>
          <t>Annual</t>
        </is>
      </c>
      <c r="C20" s="6" t="inlineStr">
        <is>
          <t>February–March</t>
        </is>
      </c>
      <c r="D20" s="6" t="inlineStr">
        <is>
          <t>2 half-days</t>
        </is>
      </c>
      <c r="E20" s="19" t="inlineStr">
        <is>
          <t>CEO/CTO</t>
        </is>
      </c>
      <c r="F20" s="6" t="inlineStr">
        <is>
          <t>Founders</t>
        </is>
      </c>
      <c r="G20" s="6" t="inlineStr">
        <is>
          <t>Budget vs Actual (next FY); Headcount Plan; T19</t>
        </is>
      </c>
      <c r="H20" s="6" t="inlineStr">
        <is>
          <t>3 priorities, budget, headcount; feeds Q1 OKRs.</t>
        </is>
      </c>
    </row>
    <row r="21">
      <c r="A21" s="6" t="inlineStr">
        <is>
          <t>AGM &amp; annual filings (audit, AGM, AOC-4, MGT-7A, DIR-3 KYC, ITR)</t>
        </is>
      </c>
      <c r="B21" s="19" t="inlineStr">
        <is>
          <t>Annual</t>
        </is>
      </c>
      <c r="C21" s="6" t="inlineStr">
        <is>
          <t>Aug–Nov window</t>
        </is>
      </c>
      <c r="D21" s="6" t="inlineStr">
        <is>
          <t>—</t>
        </is>
      </c>
      <c r="E21" s="19" t="inlineStr">
        <is>
          <t>COO</t>
        </is>
      </c>
      <c r="F21" s="6" t="inlineStr">
        <is>
          <t>CA/CS (external), all directors</t>
        </is>
      </c>
      <c r="G21" s="6" t="inlineStr">
        <is>
          <t>Compliance Calendar tab</t>
        </is>
      </c>
      <c r="H21" s="6" t="inlineStr">
        <is>
          <t>Audit done before AGM (30 Sep typical — VERIFY LIVE).</t>
        </is>
      </c>
    </row>
    <row r="22">
      <c r="A22" s="6" t="inlineStr">
        <is>
          <t>Insurance renewals &amp; policy review</t>
        </is>
      </c>
      <c r="B22" s="19" t="inlineStr">
        <is>
          <t>Annual</t>
        </is>
      </c>
      <c r="C22" s="6" t="inlineStr">
        <is>
          <t>Policy anniversaries</t>
        </is>
      </c>
      <c r="D22" s="6" t="inlineStr">
        <is>
          <t>2 h</t>
        </is>
      </c>
      <c r="E22" s="19" t="inlineStr">
        <is>
          <t>COO</t>
        </is>
      </c>
      <c r="F22" s="6" t="inlineStr">
        <is>
          <t>Broker, CEO/CTO</t>
        </is>
      </c>
      <c r="G22" s="6" t="inlineStr">
        <is>
          <t>Vendor &amp; Tool Register; lesson 13</t>
        </is>
      </c>
      <c r="H22" s="6" t="inlineStr">
        <is>
          <t>Compare cover; D&amp;O / E&amp;O / cyber / group health.</t>
        </is>
      </c>
    </row>
    <row r="23">
      <c r="A23" s="6" t="inlineStr">
        <is>
          <t>Annual operating-system audit (SOPs, access, vendors, risks, compliance) + two-week holiday test</t>
        </is>
      </c>
      <c r="B23" s="19" t="inlineStr">
        <is>
          <t>Annual</t>
        </is>
      </c>
      <c r="C23" s="6" t="inlineStr">
        <is>
          <t>Q4</t>
        </is>
      </c>
      <c r="D23" s="6" t="inlineStr">
        <is>
          <t>1 day</t>
        </is>
      </c>
      <c r="E23" s="19" t="inlineStr">
        <is>
          <t>COO</t>
        </is>
      </c>
      <c r="F23" s="6" t="inlineStr">
        <is>
          <t>Whole team</t>
        </is>
      </c>
      <c r="G23" s="6" t="inlineStr">
        <is>
          <t>SOP Index; lesson 20 checklist</t>
        </is>
      </c>
      <c r="H23" s="6" t="inlineStr">
        <is>
          <t>The autopilot test — founders away two weeks, company still ships/sells/supports/complies.</t>
        </is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</sheetData>
  <autoFilter ref="A4:H29"/>
  <mergeCells count="2">
    <mergeCell ref="A2:F2"/>
    <mergeCell ref="A1:F1"/>
  </mergeCells>
  <conditionalFormatting sqref="B5:B29">
    <cfRule type="cellIs" priority="1" operator="equal" dxfId="7">
      <formula>"Daily"</formula>
    </cfRule>
    <cfRule type="cellIs" priority="2" operator="equal" dxfId="8">
      <formula>"Weekly"</formula>
    </cfRule>
    <cfRule type="cellIs" priority="3" operator="equal" dxfId="9">
      <formula>"Monthly"</formula>
    </cfRule>
    <cfRule type="cellIs" priority="4" operator="equal" dxfId="10">
      <formula>"Quarterly"</formula>
    </cfRule>
    <cfRule type="cellIs" priority="5" operator="equal" dxfId="11">
      <formula>"Annual"</formula>
    </cfRule>
  </conditionalFormatting>
  <dataValidations count="1">
    <dataValidation sqref="B5:B29" showDropDown="0" showInputMessage="0" showErrorMessage="1" allowBlank="1" errorTitle="Pick from list" error="Please pick a value from the dropdown." type="list">
      <formula1>"Daily,Weekly,Biweekly,Monthly,Quarterly,Half-yearly,Annual"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75569"/>
    <outlinePr summaryBelow="1" summaryRight="1"/>
    <pageSetUpPr/>
  </sheetPr>
  <dimension ref="A1:I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16" customWidth="1" min="4" max="4"/>
    <col width="10" customWidth="1" min="5" max="5"/>
    <col width="13" customWidth="1" min="6" max="6"/>
    <col width="13" customWidth="1" min="7" max="7"/>
    <col width="12" customWidth="1" min="8" max="8"/>
    <col width="44" customWidth="1" min="9" max="9"/>
  </cols>
  <sheetData>
    <row r="1" ht="40" customHeight="1">
      <c r="A1" s="1" t="inlineStr">
        <is>
          <t>SOP Index — every SOP the company runs on: id, name, function, owner, status, last reviewed, next review (+180 days) and where it lives in the vault (T08 standard).</t>
        </is>
      </c>
    </row>
    <row r="2" ht="18" customHeight="1">
      <c r="A2" s="2" t="inlineStr">
        <is>
          <t>Starter list from lesson 15 — all 'Draft' until written and signed off. 'Last reviewed' is blank except one example (grey italic). Red = review overdue, amber = due within 30 days.</t>
        </is>
      </c>
    </row>
    <row r="4" ht="32" customHeight="1">
      <c r="A4" s="3" t="inlineStr">
        <is>
          <t>SOP id</t>
        </is>
      </c>
      <c r="B4" s="3" t="inlineStr">
        <is>
          <t>Name</t>
        </is>
      </c>
      <c r="C4" s="3" t="inlineStr">
        <is>
          <t>Function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Last reviewed</t>
        </is>
      </c>
      <c r="G4" s="3" t="inlineStr">
        <is>
          <t>Next review (+180 d)</t>
        </is>
      </c>
      <c r="H4" s="3" t="inlineStr">
        <is>
          <t>Days to review</t>
        </is>
      </c>
      <c r="I4" s="3" t="inlineStr">
        <is>
          <t>Link (vault path)</t>
        </is>
      </c>
    </row>
    <row r="5">
      <c r="A5" s="29" t="inlineStr">
        <is>
          <t>SOP-OPS-001</t>
        </is>
      </c>
      <c r="B5" s="6" t="inlineStr">
        <is>
          <t>Weekly ops meeting (prep, run, notes, actions)</t>
        </is>
      </c>
      <c r="C5" s="29" t="inlineStr">
        <is>
          <t>Ops</t>
        </is>
      </c>
      <c r="D5" s="29" t="inlineStr">
        <is>
          <t>COO</t>
        </is>
      </c>
      <c r="E5" s="29" t="inlineStr">
        <is>
          <t>Draft</t>
        </is>
      </c>
      <c r="F5" s="61" t="n"/>
      <c r="G5" s="30">
        <f>IF(F5="","",F5+180)</f>
        <v/>
      </c>
      <c r="H5" s="62">
        <f>IF(G5="","",IF(E5="Retired","",G5-TODAY()))</f>
        <v/>
      </c>
      <c r="I5" s="44" t="n"/>
    </row>
    <row r="6">
      <c r="A6" s="29" t="inlineStr">
        <is>
          <t>SOP-OPS-002</t>
        </is>
      </c>
      <c r="B6" s="6" t="inlineStr">
        <is>
          <t>Weekly scorecard update (Monday 10:00)</t>
        </is>
      </c>
      <c r="C6" s="29" t="inlineStr">
        <is>
          <t>Ops</t>
        </is>
      </c>
      <c r="D6" s="29" t="inlineStr">
        <is>
          <t>COO</t>
        </is>
      </c>
      <c r="E6" s="29" t="inlineStr">
        <is>
          <t>Draft</t>
        </is>
      </c>
      <c r="F6" s="31" t="n">
        <v>46253</v>
      </c>
      <c r="G6" s="30">
        <f>IF(F6="","",F6+180)</f>
        <v/>
      </c>
      <c r="H6" s="62">
        <f>IF(G6="","",IF(E6="Retired","",G6-TODAY()))</f>
        <v/>
      </c>
      <c r="I6" s="44" t="inlineStr">
        <is>
          <t>sops/sop-ops-002.md</t>
        </is>
      </c>
    </row>
    <row r="7">
      <c r="A7" s="29" t="inlineStr">
        <is>
          <t>SOP-OPS-003</t>
        </is>
      </c>
      <c r="B7" s="6" t="inlineStr">
        <is>
          <t>Decision logging &amp; ADR</t>
        </is>
      </c>
      <c r="C7" s="29" t="inlineStr">
        <is>
          <t>Ops</t>
        </is>
      </c>
      <c r="D7" s="29" t="inlineStr">
        <is>
          <t>COO</t>
        </is>
      </c>
      <c r="E7" s="29" t="inlineStr">
        <is>
          <t>Draft</t>
        </is>
      </c>
      <c r="F7" s="61" t="n"/>
      <c r="G7" s="30">
        <f>IF(F7="","",F7+180)</f>
        <v/>
      </c>
      <c r="H7" s="62">
        <f>IF(G7="","",IF(E7="Retired","",G7-TODAY()))</f>
        <v/>
      </c>
      <c r="I7" s="44" t="n"/>
    </row>
    <row r="8">
      <c r="A8" s="29" t="inlineStr">
        <is>
          <t>SOP-OPS-004</t>
        </is>
      </c>
      <c r="B8" s="6" t="inlineStr">
        <is>
          <t>Vendor onboarding, contract review &amp; renewal</t>
        </is>
      </c>
      <c r="C8" s="29" t="inlineStr">
        <is>
          <t>Ops</t>
        </is>
      </c>
      <c r="D8" s="29" t="inlineStr">
        <is>
          <t>COO</t>
        </is>
      </c>
      <c r="E8" s="29" t="inlineStr">
        <is>
          <t>Draft</t>
        </is>
      </c>
      <c r="F8" s="61" t="n"/>
      <c r="G8" s="30">
        <f>IF(F8="","",F8+180)</f>
        <v/>
      </c>
      <c r="H8" s="62">
        <f>IF(G8="","",IF(E8="Retired","",G8-TODAY()))</f>
        <v/>
      </c>
      <c r="I8" s="44" t="n"/>
    </row>
    <row r="9">
      <c r="A9" s="29" t="inlineStr">
        <is>
          <t>SOP-OPS-005</t>
        </is>
      </c>
      <c r="B9" s="6" t="inlineStr">
        <is>
          <t>Quarterly access review &amp; credential rotation</t>
        </is>
      </c>
      <c r="C9" s="29" t="inlineStr">
        <is>
          <t>Ops</t>
        </is>
      </c>
      <c r="D9" s="29" t="inlineStr">
        <is>
          <t>CEO/CTO</t>
        </is>
      </c>
      <c r="E9" s="29" t="inlineStr">
        <is>
          <t>Draft</t>
        </is>
      </c>
      <c r="F9" s="61" t="n"/>
      <c r="G9" s="30">
        <f>IF(F9="","",F9+180)</f>
        <v/>
      </c>
      <c r="H9" s="62">
        <f>IF(G9="","",IF(E9="Retired","",G9-TODAY()))</f>
        <v/>
      </c>
      <c r="I9" s="44" t="n"/>
    </row>
    <row r="10">
      <c r="A10" s="29" t="inlineStr">
        <is>
          <t>SOP-PPL-001</t>
        </is>
      </c>
      <c r="B10" s="6" t="inlineStr">
        <is>
          <t>Hiring process (scorecard → interviews → work sample → references → decision)</t>
        </is>
      </c>
      <c r="C10" s="29" t="inlineStr">
        <is>
          <t>People</t>
        </is>
      </c>
      <c r="D10" s="29" t="inlineStr">
        <is>
          <t>COO</t>
        </is>
      </c>
      <c r="E10" s="29" t="inlineStr">
        <is>
          <t>Draft</t>
        </is>
      </c>
      <c r="F10" s="61" t="n"/>
      <c r="G10" s="30">
        <f>IF(F10="","",F10+180)</f>
        <v/>
      </c>
      <c r="H10" s="62">
        <f>IF(G10="","",IF(E10="Retired","",G10-TODAY()))</f>
        <v/>
      </c>
      <c r="I10" s="44" t="n"/>
    </row>
    <row r="11">
      <c r="A11" s="29" t="inlineStr">
        <is>
          <t>SOP-PPL-002</t>
        </is>
      </c>
      <c r="B11" s="6" t="inlineStr">
        <is>
          <t>Onboarding (pre-day-1 to 90 days)</t>
        </is>
      </c>
      <c r="C11" s="29" t="inlineStr">
        <is>
          <t>People</t>
        </is>
      </c>
      <c r="D11" s="29" t="inlineStr">
        <is>
          <t>COO</t>
        </is>
      </c>
      <c r="E11" s="29" t="inlineStr">
        <is>
          <t>Draft</t>
        </is>
      </c>
      <c r="F11" s="61" t="n"/>
      <c r="G11" s="30">
        <f>IF(F11="","",F11+180)</f>
        <v/>
      </c>
      <c r="H11" s="62">
        <f>IF(G11="","",IF(E11="Retired","",G11-TODAY()))</f>
        <v/>
      </c>
      <c r="I11" s="44" t="n"/>
    </row>
    <row r="12">
      <c r="A12" s="29" t="inlineStr">
        <is>
          <t>SOP-PPL-003</t>
        </is>
      </c>
      <c r="B12" s="6" t="inlineStr">
        <is>
          <t>Offboarding &amp; access revocation</t>
        </is>
      </c>
      <c r="C12" s="29" t="inlineStr">
        <is>
          <t>People</t>
        </is>
      </c>
      <c r="D12" s="29" t="inlineStr">
        <is>
          <t>COO</t>
        </is>
      </c>
      <c r="E12" s="29" t="inlineStr">
        <is>
          <t>Draft</t>
        </is>
      </c>
      <c r="F12" s="61" t="n"/>
      <c r="G12" s="30">
        <f>IF(F12="","",F12+180)</f>
        <v/>
      </c>
      <c r="H12" s="62">
        <f>IF(G12="","",IF(E12="Retired","",G12-TODAY()))</f>
        <v/>
      </c>
      <c r="I12" s="44" t="n"/>
    </row>
    <row r="13">
      <c r="A13" s="29" t="inlineStr">
        <is>
          <t>SOP-PPL-004</t>
        </is>
      </c>
      <c r="B13" s="6" t="inlineStr">
        <is>
          <t>Monthly payroll &amp; statutory (PF/ESI/PT/TDS)</t>
        </is>
      </c>
      <c r="C13" s="29" t="inlineStr">
        <is>
          <t>People</t>
        </is>
      </c>
      <c r="D13" s="29" t="inlineStr">
        <is>
          <t>COO</t>
        </is>
      </c>
      <c r="E13" s="29" t="inlineStr">
        <is>
          <t>Draft</t>
        </is>
      </c>
      <c r="F13" s="61" t="n"/>
      <c r="G13" s="30">
        <f>IF(F13="","",F13+180)</f>
        <v/>
      </c>
      <c r="H13" s="62">
        <f>IF(G13="","",IF(E13="Retired","",G13-TODAY()))</f>
        <v/>
      </c>
      <c r="I13" s="44" t="n"/>
    </row>
    <row r="14">
      <c r="A14" s="29" t="inlineStr">
        <is>
          <t>SOP-PPL-005</t>
        </is>
      </c>
      <c r="B14" s="6" t="inlineStr">
        <is>
          <t>Leave, holidays &amp; expense claims</t>
        </is>
      </c>
      <c r="C14" s="29" t="inlineStr">
        <is>
          <t>People</t>
        </is>
      </c>
      <c r="D14" s="29" t="inlineStr">
        <is>
          <t>Support/Ops</t>
        </is>
      </c>
      <c r="E14" s="29" t="inlineStr">
        <is>
          <t>Draft</t>
        </is>
      </c>
      <c r="F14" s="61" t="n"/>
      <c r="G14" s="30">
        <f>IF(F14="","",F14+180)</f>
        <v/>
      </c>
      <c r="H14" s="62">
        <f>IF(G14="","",IF(E14="Retired","",G14-TODAY()))</f>
        <v/>
      </c>
      <c r="I14" s="44" t="n"/>
    </row>
    <row r="15">
      <c r="A15" s="29" t="inlineStr">
        <is>
          <t>SOP-CUS-001</t>
        </is>
      </c>
      <c r="B15" s="6" t="inlineStr">
        <is>
          <t>Support ticket handling &amp; SLA (WhatsApp + support@ → Helpdesk)</t>
        </is>
      </c>
      <c r="C15" s="29" t="inlineStr">
        <is>
          <t>Customer</t>
        </is>
      </c>
      <c r="D15" s="29" t="inlineStr">
        <is>
          <t>Support/Ops</t>
        </is>
      </c>
      <c r="E15" s="29" t="inlineStr">
        <is>
          <t>Draft</t>
        </is>
      </c>
      <c r="F15" s="61" t="n"/>
      <c r="G15" s="30">
        <f>IF(F15="","",F15+180)</f>
        <v/>
      </c>
      <c r="H15" s="62">
        <f>IF(G15="","",IF(E15="Retired","",G15-TODAY()))</f>
        <v/>
      </c>
      <c r="I15" s="44" t="n"/>
    </row>
    <row r="16">
      <c r="A16" s="29" t="inlineStr">
        <is>
          <t>SOP-CUS-002</t>
        </is>
      </c>
      <c r="B16" s="6" t="inlineStr">
        <is>
          <t>Dealer onboarding to activation (signup → first invoice in 14 days)</t>
        </is>
      </c>
      <c r="C16" s="29" t="inlineStr">
        <is>
          <t>Customer</t>
        </is>
      </c>
      <c r="D16" s="29" t="inlineStr">
        <is>
          <t>Support/Ops</t>
        </is>
      </c>
      <c r="E16" s="29" t="inlineStr">
        <is>
          <t>Draft</t>
        </is>
      </c>
      <c r="F16" s="61" t="n"/>
      <c r="G16" s="30">
        <f>IF(F16="","",F16+180)</f>
        <v/>
      </c>
      <c r="H16" s="62">
        <f>IF(G16="","",IF(E16="Retired","",G16-TODAY()))</f>
        <v/>
      </c>
      <c r="I16" s="44" t="n"/>
    </row>
    <row r="17">
      <c r="A17" s="29" t="inlineStr">
        <is>
          <t>SOP-CUS-003</t>
        </is>
      </c>
      <c r="B17" s="6" t="inlineStr">
        <is>
          <t>Customer (transporter/factory) invite &amp; onboarding on WhatsApp</t>
        </is>
      </c>
      <c r="C17" s="29" t="inlineStr">
        <is>
          <t>Customer</t>
        </is>
      </c>
      <c r="D17" s="29" t="inlineStr">
        <is>
          <t>Support/Ops</t>
        </is>
      </c>
      <c r="E17" s="29" t="inlineStr">
        <is>
          <t>Draft</t>
        </is>
      </c>
      <c r="F17" s="61" t="n"/>
      <c r="G17" s="30">
        <f>IF(F17="","",F17+180)</f>
        <v/>
      </c>
      <c r="H17" s="62">
        <f>IF(G17="","",IF(E17="Retired","",G17-TODAY()))</f>
        <v/>
      </c>
      <c r="I17" s="44" t="n"/>
    </row>
    <row r="18">
      <c r="A18" s="29" t="inlineStr">
        <is>
          <t>SOP-CUS-004</t>
        </is>
      </c>
      <c r="B18" s="6" t="inlineStr">
        <is>
          <t>Incident communication to dealers</t>
        </is>
      </c>
      <c r="C18" s="29" t="inlineStr">
        <is>
          <t>Customer</t>
        </is>
      </c>
      <c r="D18" s="29" t="inlineStr">
        <is>
          <t>Support/Ops</t>
        </is>
      </c>
      <c r="E18" s="29" t="inlineStr">
        <is>
          <t>Draft</t>
        </is>
      </c>
      <c r="F18" s="61" t="n"/>
      <c r="G18" s="30">
        <f>IF(F18="","",F18+180)</f>
        <v/>
      </c>
      <c r="H18" s="62">
        <f>IF(G18="","",IF(E18="Retired","",G18-TODAY()))</f>
        <v/>
      </c>
      <c r="I18" s="44" t="n"/>
    </row>
    <row r="19">
      <c r="A19" s="29" t="inlineStr">
        <is>
          <t>SOP-CUS-005</t>
        </is>
      </c>
      <c r="B19" s="6" t="inlineStr">
        <is>
          <t>Monthly tenant health check &amp; churn-save playbook</t>
        </is>
      </c>
      <c r="C19" s="29" t="inlineStr">
        <is>
          <t>Customer</t>
        </is>
      </c>
      <c r="D19" s="29" t="inlineStr">
        <is>
          <t>COO</t>
        </is>
      </c>
      <c r="E19" s="29" t="inlineStr">
        <is>
          <t>Draft</t>
        </is>
      </c>
      <c r="F19" s="61" t="n"/>
      <c r="G19" s="30">
        <f>IF(F19="","",F19+180)</f>
        <v/>
      </c>
      <c r="H19" s="62">
        <f>IF(G19="","",IF(E19="Retired","",G19-TODAY()))</f>
        <v/>
      </c>
      <c r="I19" s="44" t="n"/>
    </row>
    <row r="20">
      <c r="A20" s="29" t="inlineStr">
        <is>
          <t>SOP-REV-001</t>
        </is>
      </c>
      <c r="B20" s="6" t="inlineStr">
        <is>
          <t>Lead → demo → pilot (CRM stages, follow-up cadence)</t>
        </is>
      </c>
      <c r="C20" s="29" t="inlineStr">
        <is>
          <t>Revenue</t>
        </is>
      </c>
      <c r="D20" s="29" t="inlineStr">
        <is>
          <t>Domain director</t>
        </is>
      </c>
      <c r="E20" s="29" t="inlineStr">
        <is>
          <t>Draft</t>
        </is>
      </c>
      <c r="F20" s="61" t="n"/>
      <c r="G20" s="30">
        <f>IF(F20="","",F20+180)</f>
        <v/>
      </c>
      <c r="H20" s="62">
        <f>IF(G20="","",IF(E20="Retired","",G20-TODAY()))</f>
        <v/>
      </c>
      <c r="I20" s="44" t="n"/>
    </row>
    <row r="21">
      <c r="A21" s="29" t="inlineStr">
        <is>
          <t>SOP-REV-002</t>
        </is>
      </c>
      <c r="B21" s="6" t="inlineStr">
        <is>
          <t>Pilot → paid conversion, quote &amp; invoicing</t>
        </is>
      </c>
      <c r="C21" s="29" t="inlineStr">
        <is>
          <t>Revenue</t>
        </is>
      </c>
      <c r="D21" s="29" t="inlineStr">
        <is>
          <t>COO</t>
        </is>
      </c>
      <c r="E21" s="29" t="inlineStr">
        <is>
          <t>Draft</t>
        </is>
      </c>
      <c r="F21" s="61" t="n"/>
      <c r="G21" s="30">
        <f>IF(F21="","",F21+180)</f>
        <v/>
      </c>
      <c r="H21" s="62">
        <f>IF(G21="","",IF(E21="Retired","",G21-TODAY()))</f>
        <v/>
      </c>
      <c r="I21" s="44" t="n"/>
    </row>
    <row r="22">
      <c r="A22" s="29" t="inlineStr">
        <is>
          <t>SOP-REV-003</t>
        </is>
      </c>
      <c r="B22" s="6" t="inlineStr">
        <is>
          <t>Collections &amp; dunning ladder</t>
        </is>
      </c>
      <c r="C22" s="29" t="inlineStr">
        <is>
          <t>Revenue</t>
        </is>
      </c>
      <c r="D22" s="29" t="inlineStr">
        <is>
          <t>Support/Ops</t>
        </is>
      </c>
      <c r="E22" s="29" t="inlineStr">
        <is>
          <t>Draft</t>
        </is>
      </c>
      <c r="F22" s="61" t="n"/>
      <c r="G22" s="30">
        <f>IF(F22="","",F22+180)</f>
        <v/>
      </c>
      <c r="H22" s="62">
        <f>IF(G22="","",IF(E22="Retired","",G22-TODAY()))</f>
        <v/>
      </c>
      <c r="I22" s="44" t="n"/>
    </row>
    <row r="23">
      <c r="A23" s="29" t="inlineStr">
        <is>
          <t>SOP-REV-004</t>
        </is>
      </c>
      <c r="B23" s="6" t="inlineStr">
        <is>
          <t>Partnership tracker &amp; next-step discipline (IOCL, bank, gateway)</t>
        </is>
      </c>
      <c r="C23" s="29" t="inlineStr">
        <is>
          <t>Revenue</t>
        </is>
      </c>
      <c r="D23" s="29" t="inlineStr">
        <is>
          <t>Domain director</t>
        </is>
      </c>
      <c r="E23" s="29" t="inlineStr">
        <is>
          <t>Draft</t>
        </is>
      </c>
      <c r="F23" s="61" t="n"/>
      <c r="G23" s="30">
        <f>IF(F23="","",F23+180)</f>
        <v/>
      </c>
      <c r="H23" s="62">
        <f>IF(G23="","",IF(E23="Retired","",G23-TODAY()))</f>
        <v/>
      </c>
      <c r="I23" s="44" t="n"/>
    </row>
    <row r="24">
      <c r="A24" s="29" t="inlineStr">
        <is>
          <t>SOP-ENG-001</t>
        </is>
      </c>
      <c r="B24" s="6" t="inlineStr">
        <is>
          <t>Release checklist &amp; production deploy (release gate)</t>
        </is>
      </c>
      <c r="C24" s="29" t="inlineStr">
        <is>
          <t>Eng</t>
        </is>
      </c>
      <c r="D24" s="29" t="inlineStr">
        <is>
          <t>CEO/CTO</t>
        </is>
      </c>
      <c r="E24" s="29" t="inlineStr">
        <is>
          <t>Draft</t>
        </is>
      </c>
      <c r="F24" s="61" t="n"/>
      <c r="G24" s="30">
        <f>IF(F24="","",F24+180)</f>
        <v/>
      </c>
      <c r="H24" s="62">
        <f>IF(G24="","",IF(E24="Retired","",G24-TODAY()))</f>
        <v/>
      </c>
      <c r="I24" s="44" t="n"/>
    </row>
    <row r="25">
      <c r="A25" s="29" t="inlineStr">
        <is>
          <t>SOP-ENG-002</t>
        </is>
      </c>
      <c r="B25" s="6" t="inlineStr">
        <is>
          <t>Incident response, on-call &amp; blameless postmortem</t>
        </is>
      </c>
      <c r="C25" s="29" t="inlineStr">
        <is>
          <t>Eng</t>
        </is>
      </c>
      <c r="D25" s="29" t="inlineStr">
        <is>
          <t>CEO/CTO</t>
        </is>
      </c>
      <c r="E25" s="29" t="inlineStr">
        <is>
          <t>Draft</t>
        </is>
      </c>
      <c r="F25" s="61" t="n"/>
      <c r="G25" s="30">
        <f>IF(F25="","",F25+180)</f>
        <v/>
      </c>
      <c r="H25" s="62">
        <f>IF(G25="","",IF(E25="Retired","",G25-TODAY()))</f>
        <v/>
      </c>
      <c r="I25" s="44" t="n"/>
    </row>
    <row r="26">
      <c r="A26" s="29" t="inlineStr">
        <is>
          <t>SOP-ENG-003</t>
        </is>
      </c>
      <c r="B26" s="6" t="inlineStr">
        <is>
          <t>Backup verification &amp; restore drill</t>
        </is>
      </c>
      <c r="C26" s="29" t="inlineStr">
        <is>
          <t>Eng</t>
        </is>
      </c>
      <c r="D26" s="29" t="inlineStr">
        <is>
          <t>Developer</t>
        </is>
      </c>
      <c r="E26" s="29" t="inlineStr">
        <is>
          <t>Draft</t>
        </is>
      </c>
      <c r="F26" s="61" t="n"/>
      <c r="G26" s="30">
        <f>IF(F26="","",F26+180)</f>
        <v/>
      </c>
      <c r="H26" s="62">
        <f>IF(G26="","",IF(E26="Retired","",G26-TODAY()))</f>
        <v/>
      </c>
      <c r="I26" s="44" t="n"/>
    </row>
    <row r="27">
      <c r="A27" s="29" t="inlineStr">
        <is>
          <t>SOP-ENG-004</t>
        </is>
      </c>
      <c r="B27" s="6" t="inlineStr">
        <is>
          <t>Secrets, environments &amp; access management</t>
        </is>
      </c>
      <c r="C27" s="29" t="inlineStr">
        <is>
          <t>Eng</t>
        </is>
      </c>
      <c r="D27" s="29" t="inlineStr">
        <is>
          <t>CEO/CTO</t>
        </is>
      </c>
      <c r="E27" s="29" t="inlineStr">
        <is>
          <t>Draft</t>
        </is>
      </c>
      <c r="F27" s="61" t="n"/>
      <c r="G27" s="30">
        <f>IF(F27="","",F27+180)</f>
        <v/>
      </c>
      <c r="H27" s="62">
        <f>IF(G27="","",IF(E27="Retired","",G27-TODAY()))</f>
        <v/>
      </c>
      <c r="I27" s="44" t="n"/>
    </row>
    <row r="28">
      <c r="A28" s="29" t="inlineStr">
        <is>
          <t>SOP-ENG-005</t>
        </is>
      </c>
      <c r="B28" s="6" t="inlineStr">
        <is>
          <t>App-store submission, listings &amp; privacy labels</t>
        </is>
      </c>
      <c r="C28" s="29" t="inlineStr">
        <is>
          <t>Eng</t>
        </is>
      </c>
      <c r="D28" s="29" t="inlineStr">
        <is>
          <t>CEO/CTO</t>
        </is>
      </c>
      <c r="E28" s="29" t="inlineStr">
        <is>
          <t>Draft</t>
        </is>
      </c>
      <c r="F28" s="61" t="n"/>
      <c r="G28" s="30">
        <f>IF(F28="","",F28+180)</f>
        <v/>
      </c>
      <c r="H28" s="62">
        <f>IF(G28="","",IF(E28="Retired","",G28-TODAY()))</f>
        <v/>
      </c>
      <c r="I28" s="44" t="n"/>
    </row>
    <row r="29">
      <c r="A29" s="29" t="inlineStr">
        <is>
          <t>SOP-FIN-001</t>
        </is>
      </c>
      <c r="B29" s="6" t="inlineStr">
        <is>
          <t>Monthly close with the CA</t>
        </is>
      </c>
      <c r="C29" s="29" t="inlineStr">
        <is>
          <t>Finance</t>
        </is>
      </c>
      <c r="D29" s="29" t="inlineStr">
        <is>
          <t>COO</t>
        </is>
      </c>
      <c r="E29" s="29" t="inlineStr">
        <is>
          <t>Draft</t>
        </is>
      </c>
      <c r="F29" s="61" t="n"/>
      <c r="G29" s="30">
        <f>IF(F29="","",F29+180)</f>
        <v/>
      </c>
      <c r="H29" s="62">
        <f>IF(G29="","",IF(E29="Retired","",G29-TODAY()))</f>
        <v/>
      </c>
      <c r="I29" s="44" t="n"/>
    </row>
    <row r="30">
      <c r="A30" s="29" t="inlineStr">
        <is>
          <t>SOP-FIN-002</t>
        </is>
      </c>
      <c r="B30" s="6" t="inlineStr">
        <is>
          <t>13-week cash forecast update</t>
        </is>
      </c>
      <c r="C30" s="29" t="inlineStr">
        <is>
          <t>Finance</t>
        </is>
      </c>
      <c r="D30" s="29" t="inlineStr">
        <is>
          <t>COO</t>
        </is>
      </c>
      <c r="E30" s="29" t="inlineStr">
        <is>
          <t>Draft</t>
        </is>
      </c>
      <c r="F30" s="61" t="n"/>
      <c r="G30" s="30">
        <f>IF(F30="","",F30+180)</f>
        <v/>
      </c>
      <c r="H30" s="62">
        <f>IF(G30="","",IF(E30="Retired","",G30-TODAY()))</f>
        <v/>
      </c>
      <c r="I30" s="44" t="n"/>
    </row>
    <row r="31">
      <c r="A31" s="29" t="inlineStr">
        <is>
          <t>SOP-FIN-003</t>
        </is>
      </c>
      <c r="B31" s="6" t="inlineStr">
        <is>
          <t>Payment approvals &amp; vendor payouts (DoA)</t>
        </is>
      </c>
      <c r="C31" s="29" t="inlineStr">
        <is>
          <t>Finance</t>
        </is>
      </c>
      <c r="D31" s="29" t="inlineStr">
        <is>
          <t>COO</t>
        </is>
      </c>
      <c r="E31" s="29" t="inlineStr">
        <is>
          <t>Draft</t>
        </is>
      </c>
      <c r="F31" s="61" t="n"/>
      <c r="G31" s="30">
        <f>IF(F31="","",F31+180)</f>
        <v/>
      </c>
      <c r="H31" s="62">
        <f>IF(G31="","",IF(E31="Retired","",G31-TODAY()))</f>
        <v/>
      </c>
      <c r="I31" s="44" t="n"/>
    </row>
    <row r="32">
      <c r="A32" s="29" t="inlineStr">
        <is>
          <t>SOP-CMP-001</t>
        </is>
      </c>
      <c r="B32" s="6" t="inlineStr">
        <is>
          <t>Monthly compliance-calendar run</t>
        </is>
      </c>
      <c r="C32" s="29" t="inlineStr">
        <is>
          <t>Compliance</t>
        </is>
      </c>
      <c r="D32" s="29" t="inlineStr">
        <is>
          <t>COO</t>
        </is>
      </c>
      <c r="E32" s="29" t="inlineStr">
        <is>
          <t>Draft</t>
        </is>
      </c>
      <c r="F32" s="61" t="n"/>
      <c r="G32" s="30">
        <f>IF(F32="","",F32+180)</f>
        <v/>
      </c>
      <c r="H32" s="62">
        <f>IF(G32="","",IF(E32="Retired","",G32-TODAY()))</f>
        <v/>
      </c>
      <c r="I32" s="44" t="n"/>
    </row>
    <row r="33">
      <c r="A33" s="29" t="inlineStr">
        <is>
          <t>SOP-CMP-002</t>
        </is>
      </c>
      <c r="B33" s="6" t="inlineStr">
        <is>
          <t>DPDP data map, consent notices &amp; breach process</t>
        </is>
      </c>
      <c r="C33" s="29" t="inlineStr">
        <is>
          <t>Compliance</t>
        </is>
      </c>
      <c r="D33" s="29" t="inlineStr">
        <is>
          <t>COO</t>
        </is>
      </c>
      <c r="E33" s="29" t="inlineStr">
        <is>
          <t>Draft</t>
        </is>
      </c>
      <c r="F33" s="61" t="n"/>
      <c r="G33" s="30">
        <f>IF(F33="","",F33+180)</f>
        <v/>
      </c>
      <c r="H33" s="62">
        <f>IF(G33="","",IF(E33="Retired","",G33-TODAY()))</f>
        <v/>
      </c>
      <c r="I33" s="44" t="n"/>
    </row>
    <row r="34">
      <c r="A34" s="29" t="inlineStr">
        <is>
          <t>SOP-CMP-003</t>
        </is>
      </c>
      <c r="B34" s="6" t="inlineStr">
        <is>
          <t>Quarterly risk-register &amp; insurance review</t>
        </is>
      </c>
      <c r="C34" s="29" t="inlineStr">
        <is>
          <t>Compliance</t>
        </is>
      </c>
      <c r="D34" s="29" t="inlineStr">
        <is>
          <t>COO</t>
        </is>
      </c>
      <c r="E34" s="29" t="inlineStr">
        <is>
          <t>Draft</t>
        </is>
      </c>
      <c r="F34" s="61" t="n"/>
      <c r="G34" s="30">
        <f>IF(F34="","",F34+180)</f>
        <v/>
      </c>
      <c r="H34" s="62">
        <f>IF(G34="","",IF(E34="Retired","",G34-TODAY()))</f>
        <v/>
      </c>
      <c r="I34" s="44" t="n"/>
    </row>
    <row r="35">
      <c r="A35" s="19" t="n"/>
      <c r="B35" s="6" t="n"/>
      <c r="C35" s="19" t="n"/>
      <c r="D35" s="19" t="n"/>
      <c r="E35" s="19" t="n"/>
      <c r="F35" s="63" t="n"/>
      <c r="G35" s="87">
        <f>IF(F35="","",F35+180)</f>
        <v/>
      </c>
      <c r="H35" s="62">
        <f>IF(G35="","",IF(E35="Retired","",G35-TODAY()))</f>
        <v/>
      </c>
      <c r="I35" s="6" t="n"/>
    </row>
    <row r="36">
      <c r="A36" s="19" t="n"/>
      <c r="B36" s="6" t="n"/>
      <c r="C36" s="19" t="n"/>
      <c r="D36" s="19" t="n"/>
      <c r="E36" s="19" t="n"/>
      <c r="F36" s="63" t="n"/>
      <c r="G36" s="87">
        <f>IF(F36="","",F36+180)</f>
        <v/>
      </c>
      <c r="H36" s="62">
        <f>IF(G36="","",IF(E36="Retired","",G36-TODAY()))</f>
        <v/>
      </c>
      <c r="I36" s="6" t="n"/>
    </row>
    <row r="37">
      <c r="A37" s="19" t="n"/>
      <c r="B37" s="6" t="n"/>
      <c r="C37" s="19" t="n"/>
      <c r="D37" s="19" t="n"/>
      <c r="E37" s="19" t="n"/>
      <c r="F37" s="63" t="n"/>
      <c r="G37" s="87">
        <f>IF(F37="","",F37+180)</f>
        <v/>
      </c>
      <c r="H37" s="62">
        <f>IF(G37="","",IF(E37="Retired","",G37-TODAY()))</f>
        <v/>
      </c>
      <c r="I37" s="6" t="n"/>
    </row>
    <row r="38">
      <c r="A38" s="19" t="n"/>
      <c r="B38" s="6" t="n"/>
      <c r="C38" s="19" t="n"/>
      <c r="D38" s="19" t="n"/>
      <c r="E38" s="19" t="n"/>
      <c r="F38" s="63" t="n"/>
      <c r="G38" s="87">
        <f>IF(F38="","",F38+180)</f>
        <v/>
      </c>
      <c r="H38" s="62">
        <f>IF(G38="","",IF(E38="Retired","",G38-TODAY()))</f>
        <v/>
      </c>
      <c r="I38" s="6" t="n"/>
    </row>
    <row r="39">
      <c r="A39" s="19" t="n"/>
      <c r="B39" s="6" t="n"/>
      <c r="C39" s="19" t="n"/>
      <c r="D39" s="19" t="n"/>
      <c r="E39" s="19" t="n"/>
      <c r="F39" s="63" t="n"/>
      <c r="G39" s="87">
        <f>IF(F39="","",F39+180)</f>
        <v/>
      </c>
      <c r="H39" s="62">
        <f>IF(G39="","",IF(E39="Retired","",G39-TODAY()))</f>
        <v/>
      </c>
      <c r="I39" s="6" t="n"/>
    </row>
    <row r="40">
      <c r="A40" s="19" t="n"/>
      <c r="B40" s="6" t="n"/>
      <c r="C40" s="19" t="n"/>
      <c r="D40" s="19" t="n"/>
      <c r="E40" s="19" t="n"/>
      <c r="F40" s="63" t="n"/>
      <c r="G40" s="87">
        <f>IF(F40="","",F40+180)</f>
        <v/>
      </c>
      <c r="H40" s="62">
        <f>IF(G40="","",IF(E40="Retired","",G40-TODAY()))</f>
        <v/>
      </c>
      <c r="I40" s="6" t="n"/>
    </row>
    <row r="41">
      <c r="A41" s="19" t="n"/>
      <c r="B41" s="6" t="n"/>
      <c r="C41" s="19" t="n"/>
      <c r="D41" s="19" t="n"/>
      <c r="E41" s="19" t="n"/>
      <c r="F41" s="63" t="n"/>
      <c r="G41" s="87">
        <f>IF(F41="","",F41+180)</f>
        <v/>
      </c>
      <c r="H41" s="62">
        <f>IF(G41="","",IF(E41="Retired","",G41-TODAY()))</f>
        <v/>
      </c>
      <c r="I41" s="6" t="n"/>
    </row>
    <row r="42">
      <c r="A42" s="19" t="n"/>
      <c r="B42" s="6" t="n"/>
      <c r="C42" s="19" t="n"/>
      <c r="D42" s="19" t="n"/>
      <c r="E42" s="19" t="n"/>
      <c r="F42" s="63" t="n"/>
      <c r="G42" s="87">
        <f>IF(F42="","",F42+180)</f>
        <v/>
      </c>
      <c r="H42" s="62">
        <f>IF(G42="","",IF(E42="Retired","",G42-TODAY()))</f>
        <v/>
      </c>
      <c r="I42" s="6" t="n"/>
    </row>
    <row r="43">
      <c r="A43" s="19" t="n"/>
      <c r="B43" s="6" t="n"/>
      <c r="C43" s="19" t="n"/>
      <c r="D43" s="19" t="n"/>
      <c r="E43" s="19" t="n"/>
      <c r="F43" s="63" t="n"/>
      <c r="G43" s="87">
        <f>IF(F43="","",F43+180)</f>
        <v/>
      </c>
      <c r="H43" s="62">
        <f>IF(G43="","",IF(E43="Retired","",G43-TODAY()))</f>
        <v/>
      </c>
      <c r="I43" s="6" t="n"/>
    </row>
    <row r="44">
      <c r="A44" s="19" t="n"/>
      <c r="B44" s="6" t="n"/>
      <c r="C44" s="19" t="n"/>
      <c r="D44" s="19" t="n"/>
      <c r="E44" s="19" t="n"/>
      <c r="F44" s="63" t="n"/>
      <c r="G44" s="87">
        <f>IF(F44="","",F44+180)</f>
        <v/>
      </c>
      <c r="H44" s="62">
        <f>IF(G44="","",IF(E44="Retired","",G44-TODAY()))</f>
        <v/>
      </c>
      <c r="I44" s="6" t="n"/>
    </row>
    <row r="45">
      <c r="A45" s="38" t="inlineStr">
        <is>
          <t>Live / Draft / Retired counts</t>
        </is>
      </c>
      <c r="B45" s="24" t="n"/>
      <c r="C45" s="74">
        <f>COUNTIF(E5:E44,"Live")</f>
        <v/>
      </c>
      <c r="D45" s="74">
        <f>COUNTIF(E5:E44,"Draft")</f>
        <v/>
      </c>
      <c r="E45" s="74">
        <f>COUNTIF(E5:E44,"Retired")</f>
        <v/>
      </c>
    </row>
  </sheetData>
  <autoFilter ref="A4:I44"/>
  <mergeCells count="2">
    <mergeCell ref="A2:H2"/>
    <mergeCell ref="A1:H1"/>
  </mergeCells>
  <conditionalFormatting sqref="E5:E44">
    <cfRule type="cellIs" priority="1" operator="equal" dxfId="1">
      <formula>"Live"</formula>
    </cfRule>
    <cfRule type="cellIs" priority="2" operator="equal" dxfId="2">
      <formula>"Draft"</formula>
    </cfRule>
    <cfRule type="cellIs" priority="3" operator="equal" dxfId="5">
      <formula>"Retired"</formula>
    </cfRule>
  </conditionalFormatting>
  <conditionalFormatting sqref="H5:H44">
    <cfRule type="expression" priority="4" dxfId="0">
      <formula>IF(H5="",FALSE,H5&lt;0)</formula>
    </cfRule>
    <cfRule type="expression" priority="5" dxfId="2">
      <formula>IF(H5="",FALSE,IF(H5&lt;0,FALSE,H5&lt;30))</formula>
    </cfRule>
  </conditionalFormatting>
  <dataValidations count="3">
    <dataValidation sqref="C5:C44" showDropDown="0" showInputMessage="0" showErrorMessage="1" allowBlank="1" errorTitle="Pick from list" error="Please pick a value from the dropdown." type="list">
      <formula1>"Ops,People,Customer,Revenue,Eng,Finance,Compliance"</formula1>
    </dataValidation>
    <dataValidation sqref="D5:D44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E5:E44" showDropDown="0" showInputMessage="0" showErrorMessage="1" allowBlank="1" errorTitle="Pick from list" error="Please pick a value from the dropdown." type="list">
      <formula1>"Draft,Live,Retired"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75569"/>
    <outlinePr summaryBelow="1" summaryRight="1"/>
    <pageSetUpPr/>
  </sheetPr>
  <dimension ref="A1:H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3" customWidth="1" min="3" max="3"/>
    <col width="24" customWidth="1" min="4" max="4"/>
    <col width="26" customWidth="1" min="5" max="5"/>
    <col width="20" customWidth="1" min="6" max="6"/>
    <col width="12" customWidth="1" min="7" max="7"/>
    <col width="56" customWidth="1" min="8" max="8"/>
  </cols>
  <sheetData>
    <row r="1" ht="40" customHeight="1">
      <c r="A1" s="1" t="inlineStr">
        <is>
          <t>DoA Matrix — delegation of authority: who may decide what, up to which ₹ threshold, who must be consulted and informed, and where two signatures are required (T22).</t>
        </is>
      </c>
    </row>
    <row r="2" ht="18" customHeight="1">
      <c r="A2" s="2" t="inlineStr">
        <is>
          <t>₹ thresholds (grey italic) are illustrative — set your own with the founders and record the review date. Rule of thumb: above the two-signature line nothing moves on one person's say-so.</t>
        </is>
      </c>
    </row>
    <row r="4" ht="32" customHeight="1">
      <c r="A4" s="3" t="inlineStr">
        <is>
          <t>Decision type</t>
        </is>
      </c>
      <c r="B4" s="3" t="inlineStr">
        <is>
          <t>Sub-type / threshold</t>
        </is>
      </c>
      <c r="C4" s="3" t="inlineStr">
        <is>
          <t>Threshold (₹)</t>
        </is>
      </c>
      <c r="D4" s="3" t="inlineStr">
        <is>
          <t>Who decides</t>
        </is>
      </c>
      <c r="E4" s="3" t="inlineStr">
        <is>
          <t>Who must be consulted</t>
        </is>
      </c>
      <c r="F4" s="3" t="inlineStr">
        <is>
          <t>Who is informed</t>
        </is>
      </c>
      <c r="G4" s="3" t="inlineStr">
        <is>
          <t>Two signatures?</t>
        </is>
      </c>
      <c r="H4" s="3" t="inlineStr">
        <is>
          <t>Notes / rule</t>
        </is>
      </c>
    </row>
    <row r="5">
      <c r="A5" s="29" t="inlineStr">
        <is>
          <t>Spend (opex, within budget)</t>
        </is>
      </c>
      <c r="B5" s="6" t="inlineStr">
        <is>
          <t>Up to ₹10,000 per item</t>
        </is>
      </c>
      <c r="C5" s="20" t="n">
        <v>10000</v>
      </c>
      <c r="D5" s="6" t="inlineStr">
        <is>
          <t>Function owner</t>
        </is>
      </c>
      <c r="E5" s="6" t="inlineStr">
        <is>
          <t>—</t>
        </is>
      </c>
      <c r="F5" s="6" t="inlineStr">
        <is>
          <t>COO (monthly BvA)</t>
        </is>
      </c>
      <c r="G5" s="4" t="inlineStr">
        <is>
          <t>N</t>
        </is>
      </c>
      <c r="H5" s="44" t="inlineStr">
        <is>
          <t>Must be in the approved budget line; receipt into ERPNext within 7 days.</t>
        </is>
      </c>
    </row>
    <row r="6">
      <c r="A6" s="29" t="inlineStr">
        <is>
          <t>Spend (opex, within budget)</t>
        </is>
      </c>
      <c r="B6" s="6" t="inlineStr">
        <is>
          <t>₹10,001 – ₹50,000 per item</t>
        </is>
      </c>
      <c r="C6" s="20" t="n">
        <v>50000</v>
      </c>
      <c r="D6" s="6" t="inlineStr">
        <is>
          <t>COO</t>
        </is>
      </c>
      <c r="E6" s="6" t="inlineStr">
        <is>
          <t>Function owner</t>
        </is>
      </c>
      <c r="F6" s="6" t="inlineStr">
        <is>
          <t>CEO/CTO</t>
        </is>
      </c>
      <c r="G6" s="4" t="inlineStr">
        <is>
          <t>N</t>
        </is>
      </c>
      <c r="H6" s="44" t="inlineStr">
        <is>
          <t>Three quotes above ₹25,000 unless sole vendor.</t>
        </is>
      </c>
    </row>
    <row r="7">
      <c r="A7" s="29" t="inlineStr">
        <is>
          <t>Spend (opex, within budget)</t>
        </is>
      </c>
      <c r="B7" s="6" t="inlineStr">
        <is>
          <t>₹50,001 – ₹2,00,000 per item</t>
        </is>
      </c>
      <c r="C7" s="20" t="n">
        <v>200000</v>
      </c>
      <c r="D7" s="6" t="inlineStr">
        <is>
          <t>CEO/CTO + COO</t>
        </is>
      </c>
      <c r="E7" s="6" t="inlineStr">
        <is>
          <t>CA/CS if tax/contract angle</t>
        </is>
      </c>
      <c r="F7" s="6" t="inlineStr">
        <is>
          <t>Board (next meeting)</t>
        </is>
      </c>
      <c r="G7" s="4" t="inlineStr">
        <is>
          <t>Y</t>
        </is>
      </c>
      <c r="H7" s="44" t="inlineStr">
        <is>
          <t>Two-signature rule: both must approve in writing (chat/email counts).</t>
        </is>
      </c>
    </row>
    <row r="8">
      <c r="A8" s="29" t="inlineStr">
        <is>
          <t>Spend (any)</t>
        </is>
      </c>
      <c r="B8" s="6" t="inlineStr">
        <is>
          <t>Above ₹2,00,000, or any new recurring commitment &gt; ₹25,000/month, or anything outside budget</t>
        </is>
      </c>
      <c r="C8" s="20" t="n">
        <v>200000</v>
      </c>
      <c r="D8" s="6" t="inlineStr">
        <is>
          <t>Board (all 3 directors)</t>
        </is>
      </c>
      <c r="E8" s="6" t="inlineStr">
        <is>
          <t>CA/CS</t>
        </is>
      </c>
      <c r="F8" s="6" t="inlineStr">
        <is>
          <t>—</t>
        </is>
      </c>
      <c r="G8" s="4" t="inlineStr">
        <is>
          <t>Y</t>
        </is>
      </c>
      <c r="H8" s="44" t="inlineStr">
        <is>
          <t>Board decision minuted; runway impact shown on the Runway tab first.</t>
        </is>
      </c>
    </row>
    <row r="9">
      <c r="A9" s="29" t="inlineStr">
        <is>
          <t>Capex / hardware</t>
        </is>
      </c>
      <c r="B9" s="6" t="inlineStr">
        <is>
          <t>Laptops, phones for testing, office equipment</t>
        </is>
      </c>
      <c r="C9" s="20" t="n">
        <v>60000</v>
      </c>
      <c r="D9" s="6" t="inlineStr">
        <is>
          <t>COO</t>
        </is>
      </c>
      <c r="E9" s="6" t="inlineStr">
        <is>
          <t>CEO/CTO</t>
        </is>
      </c>
      <c r="F9" s="6" t="inlineStr">
        <is>
          <t>—</t>
        </is>
      </c>
      <c r="G9" s="4" t="inlineStr">
        <is>
          <t>N</t>
        </is>
      </c>
      <c r="H9" s="44" t="inlineStr">
        <is>
          <t>Asset register entry; company-owned, encrypted, in the offboarding list.</t>
        </is>
      </c>
    </row>
    <row r="10">
      <c r="A10" s="29" t="inlineStr">
        <is>
          <t>Hiring</t>
        </is>
      </c>
      <c r="B10" s="6" t="inlineStr">
        <is>
          <t>Contractor / freelancer up to ₹50,000/month, ≤ 6 months</t>
        </is>
      </c>
      <c r="C10" s="20" t="n">
        <v>50000</v>
      </c>
      <c r="D10" s="6" t="inlineStr">
        <is>
          <t>COO</t>
        </is>
      </c>
      <c r="E10" s="6" t="inlineStr">
        <is>
          <t>Hiring manager</t>
        </is>
      </c>
      <c r="F10" s="6" t="inlineStr">
        <is>
          <t>CEO/CTO</t>
        </is>
      </c>
      <c r="G10" s="4" t="inlineStr">
        <is>
          <t>N</t>
        </is>
      </c>
      <c r="H10" s="44" t="inlineStr">
        <is>
          <t>T11 contractor agreement with IP assignment; TDS applied.</t>
        </is>
      </c>
    </row>
    <row r="11">
      <c r="A11" s="29" t="inlineStr">
        <is>
          <t>Hiring</t>
        </is>
      </c>
      <c r="B11" s="6" t="inlineStr">
        <is>
          <t>Any employee (any level) or contractor above ₹50,000/month</t>
        </is>
      </c>
      <c r="C11" s="20" t="n"/>
      <c r="D11" s="6" t="inlineStr">
        <is>
          <t>CEO/CTO + COO</t>
        </is>
      </c>
      <c r="E11" s="6" t="inlineStr">
        <is>
          <t>Domain director; CA (payroll)</t>
        </is>
      </c>
      <c r="F11" s="6" t="inlineStr">
        <is>
          <t>Board</t>
        </is>
      </c>
      <c r="G11" s="4" t="inlineStr">
        <is>
          <t>Y</t>
        </is>
      </c>
      <c r="H11" s="44" t="inlineStr">
        <is>
          <t>Scorecard-first process (T10); headcount plan row must exist.</t>
        </is>
      </c>
    </row>
    <row r="12">
      <c r="A12" s="29" t="inlineStr">
        <is>
          <t>Termination / non-renewal</t>
        </is>
      </c>
      <c r="B12" s="6" t="inlineStr">
        <is>
          <t>Employee termination, contractor early exit</t>
        </is>
      </c>
      <c r="C12" s="20" t="n"/>
      <c r="D12" s="6" t="inlineStr">
        <is>
          <t>CEO/CTO + COO</t>
        </is>
      </c>
      <c r="E12" s="6" t="inlineStr">
        <is>
          <t>CA/CS / lawyer (notice, F&amp;F)</t>
        </is>
      </c>
      <c r="F12" s="6" t="inlineStr">
        <is>
          <t>Board</t>
        </is>
      </c>
      <c r="G12" s="4" t="inlineStr">
        <is>
          <t>Y</t>
        </is>
      </c>
      <c r="H12" s="44" t="inlineStr">
        <is>
          <t>Documented performance process; offboarding checklist (T13).</t>
        </is>
      </c>
    </row>
    <row r="13">
      <c r="A13" s="29" t="inlineStr">
        <is>
          <t>Compensation</t>
        </is>
      </c>
      <c r="B13" s="6" t="inlineStr">
        <is>
          <t>Salary revisions, bonuses, ESOP grants</t>
        </is>
      </c>
      <c r="C13" s="20" t="n"/>
      <c r="D13" s="6" t="inlineStr">
        <is>
          <t>Board (all 3 directors)</t>
        </is>
      </c>
      <c r="E13" s="6" t="inlineStr">
        <is>
          <t>CA/CS</t>
        </is>
      </c>
      <c r="F13" s="6" t="inlineStr">
        <is>
          <t>—</t>
        </is>
      </c>
      <c r="G13" s="4" t="inlineStr">
        <is>
          <t>Y</t>
        </is>
      </c>
      <c r="H13" s="44" t="inlineStr">
        <is>
          <t>Annual cycle; ESOP needs scheme + shareholder approval (VERIFY LIVE).</t>
        </is>
      </c>
    </row>
    <row r="14">
      <c r="A14" s="29" t="inlineStr">
        <is>
          <t>Contracts</t>
        </is>
      </c>
      <c r="B14" s="6" t="inlineStr">
        <is>
          <t>Standard NDA / our standard customer terms</t>
        </is>
      </c>
      <c r="C14" s="20" t="n"/>
      <c r="D14" s="6" t="inlineStr">
        <is>
          <t>COO</t>
        </is>
      </c>
      <c r="E14" s="6" t="inlineStr">
        <is>
          <t>—</t>
        </is>
      </c>
      <c r="F14" s="6" t="inlineStr">
        <is>
          <t>CEO/CTO</t>
        </is>
      </c>
      <c r="G14" s="4" t="inlineStr">
        <is>
          <t>N</t>
        </is>
      </c>
      <c r="H14" s="44" t="inlineStr">
        <is>
          <t>Templates approved by lawyer once; deviations escalate.</t>
        </is>
      </c>
    </row>
    <row r="15">
      <c r="A15" s="29" t="inlineStr">
        <is>
          <t>Contracts</t>
        </is>
      </c>
      <c r="B15" s="6" t="inlineStr">
        <is>
          <t>Vendor contracts &gt; 12 months, auto-renew, or data-processing terms</t>
        </is>
      </c>
      <c r="C15" s="20" t="n"/>
      <c r="D15" s="6" t="inlineStr">
        <is>
          <t>COO</t>
        </is>
      </c>
      <c r="E15" s="6" t="inlineStr">
        <is>
          <t>CEO/CTO (data/security)</t>
        </is>
      </c>
      <c r="F15" s="6" t="inlineStr">
        <is>
          <t>—</t>
        </is>
      </c>
      <c r="G15" s="4" t="inlineStr">
        <is>
          <t>N</t>
        </is>
      </c>
      <c r="H15" s="44" t="inlineStr">
        <is>
          <t>Contract review checklist (lesson 14): term, auto-renew, liability cap, data, exit/export, SLA.</t>
        </is>
      </c>
    </row>
    <row r="16">
      <c r="A16" s="29" t="inlineStr">
        <is>
          <t>Contracts</t>
        </is>
      </c>
      <c r="B16" s="6" t="inlineStr">
        <is>
          <t>Non-standard liability, exclusivity, IP, or partner MoUs (IOCL, bank, gateway)</t>
        </is>
      </c>
      <c r="C16" s="20" t="n"/>
      <c r="D16" s="6" t="inlineStr">
        <is>
          <t>CEO/CTO + COO</t>
        </is>
      </c>
      <c r="E16" s="6" t="inlineStr">
        <is>
          <t>Lawyer; domain director</t>
        </is>
      </c>
      <c r="F16" s="6" t="inlineStr">
        <is>
          <t>Board</t>
        </is>
      </c>
      <c r="G16" s="4" t="inlineStr">
        <is>
          <t>Y</t>
        </is>
      </c>
      <c r="H16" s="44" t="inlineStr">
        <is>
          <t>Decision memo in the Decision Log; one-way door.</t>
        </is>
      </c>
    </row>
    <row r="17">
      <c r="A17" s="29" t="inlineStr">
        <is>
          <t>Pricing &amp; discounts</t>
        </is>
      </c>
      <c r="B17" s="6" t="inlineStr">
        <is>
          <t>List prices and plan structure</t>
        </is>
      </c>
      <c r="C17" s="20" t="n"/>
      <c r="D17" s="6" t="inlineStr">
        <is>
          <t>Board (all 3 directors)</t>
        </is>
      </c>
      <c r="E17" s="6" t="inlineStr">
        <is>
          <t>Domain director; CA (GST)</t>
        </is>
      </c>
      <c r="F17" s="6" t="inlineStr">
        <is>
          <t>Whole team</t>
        </is>
      </c>
      <c r="G17" s="4" t="inlineStr">
        <is>
          <t>Y</t>
        </is>
      </c>
      <c r="H17" s="44" t="inlineStr">
        <is>
          <t>Prices undecided as of 2026-08; per-GSTIN subscription direction decided 2026-07-29.</t>
        </is>
      </c>
    </row>
    <row r="18">
      <c r="A18" s="29" t="inlineStr">
        <is>
          <t>Pricing &amp; discounts</t>
        </is>
      </c>
      <c r="B18" s="6" t="inlineStr">
        <is>
          <t>Discount up to 10 % / pilot free period ≤ 60 days</t>
        </is>
      </c>
      <c r="C18" s="20" t="n"/>
      <c r="D18" s="6" t="inlineStr">
        <is>
          <t>Domain director</t>
        </is>
      </c>
      <c r="E18" s="6" t="inlineStr">
        <is>
          <t>COO</t>
        </is>
      </c>
      <c r="F18" s="6" t="inlineStr">
        <is>
          <t>CEO/CTO</t>
        </is>
      </c>
      <c r="G18" s="4" t="inlineStr">
        <is>
          <t>N</t>
        </is>
      </c>
      <c r="H18" s="44" t="inlineStr">
        <is>
          <t>Logged in CRM opportunity.</t>
        </is>
      </c>
    </row>
    <row r="19">
      <c r="A19" s="29" t="inlineStr">
        <is>
          <t>Pricing &amp; discounts</t>
        </is>
      </c>
      <c r="B19" s="6" t="inlineStr">
        <is>
          <t>Discount 10–25 % or custom terms</t>
        </is>
      </c>
      <c r="C19" s="20" t="n"/>
      <c r="D19" s="6" t="inlineStr">
        <is>
          <t>COO</t>
        </is>
      </c>
      <c r="E19" s="6" t="inlineStr">
        <is>
          <t>CEO/CTO</t>
        </is>
      </c>
      <c r="F19" s="6" t="inlineStr">
        <is>
          <t>—</t>
        </is>
      </c>
      <c r="G19" s="4" t="inlineStr">
        <is>
          <t>N</t>
        </is>
      </c>
      <c r="H19" s="44" t="inlineStr">
        <is>
          <t>Must keep cost-to-serve positive (cost-model worksheet).</t>
        </is>
      </c>
    </row>
    <row r="20">
      <c r="A20" s="29" t="inlineStr">
        <is>
          <t>Pricing &amp; discounts</t>
        </is>
      </c>
      <c r="B20" s="6" t="inlineStr">
        <is>
          <t>Discount above 25 %, free tenants, or channel/partner pricing</t>
        </is>
      </c>
      <c r="C20" s="20" t="n"/>
      <c r="D20" s="6" t="inlineStr">
        <is>
          <t>CEO/CTO</t>
        </is>
      </c>
      <c r="E20" s="6" t="inlineStr">
        <is>
          <t>COO; domain director</t>
        </is>
      </c>
      <c r="F20" s="6" t="inlineStr">
        <is>
          <t>Board</t>
        </is>
      </c>
      <c r="G20" s="4" t="inlineStr">
        <is>
          <t>N</t>
        </is>
      </c>
      <c r="H20" s="44" t="inlineStr">
        <is>
          <t>Decision Log entry.</t>
        </is>
      </c>
    </row>
    <row r="21">
      <c r="A21" s="29" t="inlineStr">
        <is>
          <t>Refunds &amp; credit notes</t>
        </is>
      </c>
      <c r="B21" s="6" t="inlineStr">
        <is>
          <t>Up to ₹5,000</t>
        </is>
      </c>
      <c r="C21" s="20" t="n">
        <v>5000</v>
      </c>
      <c r="D21" s="6" t="inlineStr">
        <is>
          <t>Support/Ops lead</t>
        </is>
      </c>
      <c r="E21" s="6" t="inlineStr">
        <is>
          <t>—</t>
        </is>
      </c>
      <c r="F21" s="6" t="inlineStr">
        <is>
          <t>COO (weekly)</t>
        </is>
      </c>
      <c r="G21" s="4" t="inlineStr">
        <is>
          <t>N</t>
        </is>
      </c>
      <c r="H21" s="44" t="inlineStr">
        <is>
          <t>Reason code in Helpdesk; credit note in ERPNext.</t>
        </is>
      </c>
    </row>
    <row r="22">
      <c r="A22" s="29" t="inlineStr">
        <is>
          <t>Refunds &amp; credit notes</t>
        </is>
      </c>
      <c r="B22" s="6" t="inlineStr">
        <is>
          <t>₹5,001 – ₹25,000</t>
        </is>
      </c>
      <c r="C22" s="20" t="n">
        <v>25000</v>
      </c>
      <c r="D22" s="6" t="inlineStr">
        <is>
          <t>COO</t>
        </is>
      </c>
      <c r="E22" s="6" t="inlineStr">
        <is>
          <t>CEO/CTO</t>
        </is>
      </c>
      <c r="F22" s="6" t="inlineStr">
        <is>
          <t>—</t>
        </is>
      </c>
      <c r="G22" s="4" t="inlineStr">
        <is>
          <t>N</t>
        </is>
      </c>
      <c r="H22" s="44" t="n"/>
    </row>
    <row r="23">
      <c r="A23" s="29" t="inlineStr">
        <is>
          <t>Refunds &amp; credit notes</t>
        </is>
      </c>
      <c r="B23" s="6" t="inlineStr">
        <is>
          <t>Above ₹25,000 or any goodwill outside policy</t>
        </is>
      </c>
      <c r="C23" s="20" t="n">
        <v>25000</v>
      </c>
      <c r="D23" s="6" t="inlineStr">
        <is>
          <t>CEO/CTO + COO</t>
        </is>
      </c>
      <c r="E23" s="6" t="inlineStr">
        <is>
          <t>CA (GST credit note)</t>
        </is>
      </c>
      <c r="F23" s="6" t="inlineStr">
        <is>
          <t>Board</t>
        </is>
      </c>
      <c r="G23" s="4" t="inlineStr">
        <is>
          <t>Y</t>
        </is>
      </c>
      <c r="H23" s="44" t="n"/>
    </row>
    <row r="24">
      <c r="A24" s="29" t="inlineStr">
        <is>
          <t>Production deploys</t>
        </is>
      </c>
      <c r="B24" s="6" t="inlineStr">
        <is>
          <t>Routine release (release gate green)</t>
        </is>
      </c>
      <c r="C24" s="20" t="n"/>
      <c r="D24" s="6" t="inlineStr">
        <is>
          <t>CEO/CTO</t>
        </is>
      </c>
      <c r="E24" s="6" t="inlineStr">
        <is>
          <t>Developer; Support/Ops (comms)</t>
        </is>
      </c>
      <c r="F24" s="6" t="inlineStr">
        <is>
          <t>COO</t>
        </is>
      </c>
      <c r="G24" s="4" t="inlineStr">
        <is>
          <t>N</t>
        </is>
      </c>
      <c r="H24" s="44" t="inlineStr">
        <is>
          <t>T26 checklist; never on the eve of the 10 PM–6 AM rate window without a rollback plan.</t>
        </is>
      </c>
    </row>
    <row r="25">
      <c r="A25" s="29" t="inlineStr">
        <is>
          <t>Production deploys</t>
        </is>
      </c>
      <c r="B25" s="6" t="inlineStr">
        <is>
          <t>Hotfix / emergency change</t>
        </is>
      </c>
      <c r="C25" s="20" t="n"/>
      <c r="D25" s="6" t="inlineStr">
        <is>
          <t>CEO/CTO</t>
        </is>
      </c>
      <c r="E25" s="6" t="inlineStr">
        <is>
          <t>—</t>
        </is>
      </c>
      <c r="F25" s="6" t="inlineStr">
        <is>
          <t>COO; Support/Ops</t>
        </is>
      </c>
      <c r="G25" s="4" t="inlineStr">
        <is>
          <t>N</t>
        </is>
      </c>
      <c r="H25" s="44" t="inlineStr">
        <is>
          <t>Postmortem within 5 working days if incident-driven.</t>
        </is>
      </c>
    </row>
    <row r="26">
      <c r="A26" s="29" t="inlineStr">
        <is>
          <t>Production deploys</t>
        </is>
      </c>
      <c r="B26" s="6" t="inlineStr">
        <is>
          <t>Schema migration or anything touching invoices, ledgers or money</t>
        </is>
      </c>
      <c r="C26" s="20" t="n"/>
      <c r="D26" s="6" t="inlineStr">
        <is>
          <t>CEO/CTO</t>
        </is>
      </c>
      <c r="E26" s="6" t="inlineStr">
        <is>
          <t>COO</t>
        </is>
      </c>
      <c r="F26" s="6" t="inlineStr">
        <is>
          <t>Whole team</t>
        </is>
      </c>
      <c r="G26" s="4" t="inlineStr">
        <is>
          <t>N</t>
        </is>
      </c>
      <c r="H26" s="44" t="inlineStr">
        <is>
          <t>Backup verified before; migration plan + rollback documented.</t>
        </is>
      </c>
    </row>
    <row r="27">
      <c r="A27" s="29" t="inlineStr">
        <is>
          <t>Data access</t>
        </is>
      </c>
      <c r="B27" s="6" t="inlineStr">
        <is>
          <t>Read access to production DB / customer data exports</t>
        </is>
      </c>
      <c r="C27" s="20" t="n"/>
      <c r="D27" s="6" t="inlineStr">
        <is>
          <t>CEO/CTO</t>
        </is>
      </c>
      <c r="E27" s="6" t="inlineStr">
        <is>
          <t>COO</t>
        </is>
      </c>
      <c r="F27" s="6" t="inlineStr">
        <is>
          <t>—</t>
        </is>
      </c>
      <c r="G27" s="4" t="inlineStr">
        <is>
          <t>N</t>
        </is>
      </c>
      <c r="H27" s="44" t="inlineStr">
        <is>
          <t>Least privilege; logged; quarterly access review.</t>
        </is>
      </c>
    </row>
    <row r="28">
      <c r="A28" s="29" t="inlineStr">
        <is>
          <t>Data access</t>
        </is>
      </c>
      <c r="B28" s="6" t="inlineStr">
        <is>
          <t>Sharing personal data with a third party (vendor, partner)</t>
        </is>
      </c>
      <c r="C28" s="20" t="n"/>
      <c r="D28" s="6" t="inlineStr">
        <is>
          <t>CEO/CTO + COO</t>
        </is>
      </c>
      <c r="E28" s="6" t="inlineStr">
        <is>
          <t>Lawyer (DPDP)</t>
        </is>
      </c>
      <c r="F28" s="6" t="inlineStr">
        <is>
          <t>—</t>
        </is>
      </c>
      <c r="G28" s="4" t="inlineStr">
        <is>
          <t>Y</t>
        </is>
      </c>
      <c r="H28" s="44" t="inlineStr">
        <is>
          <t>DPA in place; entry in data map; consent basis checked.</t>
        </is>
      </c>
    </row>
    <row r="29">
      <c r="A29" s="29" t="inlineStr">
        <is>
          <t>Public communications</t>
        </is>
      </c>
      <c r="B29" s="6" t="inlineStr">
        <is>
          <t>Social posts, website copy, blog</t>
        </is>
      </c>
      <c r="C29" s="20" t="n"/>
      <c r="D29" s="6" t="inlineStr">
        <is>
          <t>COO</t>
        </is>
      </c>
      <c r="E29" s="6" t="inlineStr">
        <is>
          <t>Domain director</t>
        </is>
      </c>
      <c r="F29" s="6" t="inlineStr">
        <is>
          <t>CEO/CTO</t>
        </is>
      </c>
      <c r="G29" s="4" t="inlineStr">
        <is>
          <t>N</t>
        </is>
      </c>
      <c r="H29" s="44" t="inlineStr">
        <is>
          <t>No customer names without written consent.</t>
        </is>
      </c>
    </row>
    <row r="30">
      <c r="A30" s="29" t="inlineStr">
        <is>
          <t>Public communications</t>
        </is>
      </c>
      <c r="B30" s="6" t="inlineStr">
        <is>
          <t>Press, partnership announcements, incident statements</t>
        </is>
      </c>
      <c r="C30" s="20" t="n"/>
      <c r="D30" s="6" t="inlineStr">
        <is>
          <t>CEO/CTO</t>
        </is>
      </c>
      <c r="E30" s="6" t="inlineStr">
        <is>
          <t>COO</t>
        </is>
      </c>
      <c r="F30" s="6" t="inlineStr">
        <is>
          <t>Whole team</t>
        </is>
      </c>
      <c r="G30" s="4" t="inlineStr">
        <is>
          <t>N</t>
        </is>
      </c>
      <c r="H30" s="44" t="inlineStr">
        <is>
          <t>Incident statements use the T17 template.</t>
        </is>
      </c>
    </row>
    <row r="31">
      <c r="A31" s="29" t="inlineStr">
        <is>
          <t>Legal &amp; regulatory</t>
        </is>
      </c>
      <c r="B31" s="6" t="inlineStr">
        <is>
          <t>Legal notices, disputes, regulator correspondence</t>
        </is>
      </c>
      <c r="C31" s="20" t="n"/>
      <c r="D31" s="6" t="inlineStr">
        <is>
          <t>CEO/CTO</t>
        </is>
      </c>
      <c r="E31" s="6" t="inlineStr">
        <is>
          <t>Lawyer; COO</t>
        </is>
      </c>
      <c r="F31" s="6" t="inlineStr">
        <is>
          <t>Board</t>
        </is>
      </c>
      <c r="G31" s="4" t="inlineStr">
        <is>
          <t>N</t>
        </is>
      </c>
      <c r="H31" s="44" t="inlineStr">
        <is>
          <t>Nothing sent without lawyer review.</t>
        </is>
      </c>
    </row>
    <row r="32">
      <c r="A32" s="29" t="inlineStr">
        <is>
          <t>Legal &amp; regulatory</t>
        </is>
      </c>
      <c r="B32" s="6" t="inlineStr">
        <is>
          <t>Statutory filings &amp; registrations</t>
        </is>
      </c>
      <c r="C32" s="20" t="n"/>
      <c r="D32" s="6" t="inlineStr">
        <is>
          <t>COO</t>
        </is>
      </c>
      <c r="E32" s="6" t="inlineStr">
        <is>
          <t>CA/CS</t>
        </is>
      </c>
      <c r="F32" s="6" t="inlineStr">
        <is>
          <t>CEO/CTO</t>
        </is>
      </c>
      <c r="G32" s="4" t="inlineStr">
        <is>
          <t>N</t>
        </is>
      </c>
      <c r="H32" s="44" t="inlineStr">
        <is>
          <t>Per Compliance Calendar; CA/CS files, COO approves.</t>
        </is>
      </c>
    </row>
    <row r="33">
      <c r="A33" s="29" t="inlineStr">
        <is>
          <t>Bank &amp; treasury</t>
        </is>
      </c>
      <c r="B33" s="6" t="inlineStr">
        <is>
          <t>Adding bank signatories, new accounts, FDs, loans</t>
        </is>
      </c>
      <c r="C33" s="20" t="n"/>
      <c r="D33" s="6" t="inlineStr">
        <is>
          <t>Board (all 3 directors)</t>
        </is>
      </c>
      <c r="E33" s="6" t="inlineStr">
        <is>
          <t>CA</t>
        </is>
      </c>
      <c r="F33" s="6" t="inlineStr">
        <is>
          <t>—</t>
        </is>
      </c>
      <c r="G33" s="4" t="inlineStr">
        <is>
          <t>Y</t>
        </is>
      </c>
      <c r="H33" s="44" t="inlineStr">
        <is>
          <t>Board resolution; maker–checker on net banking.</t>
        </is>
      </c>
    </row>
    <row r="34">
      <c r="A34" s="19" t="n"/>
      <c r="B34" s="6" t="n"/>
      <c r="C34" s="64" t="n"/>
      <c r="D34" s="6" t="n"/>
      <c r="E34" s="6" t="n"/>
      <c r="F34" s="6" t="n"/>
      <c r="G34" s="4" t="n"/>
      <c r="H34" s="6" t="n"/>
    </row>
    <row r="35">
      <c r="A35" s="19" t="n"/>
      <c r="B35" s="6" t="n"/>
      <c r="C35" s="64" t="n"/>
      <c r="D35" s="6" t="n"/>
      <c r="E35" s="6" t="n"/>
      <c r="F35" s="6" t="n"/>
      <c r="G35" s="4" t="n"/>
      <c r="H35" s="6" t="n"/>
    </row>
    <row r="36">
      <c r="A36" s="19" t="n"/>
      <c r="B36" s="6" t="n"/>
      <c r="C36" s="64" t="n"/>
      <c r="D36" s="6" t="n"/>
      <c r="E36" s="6" t="n"/>
      <c r="F36" s="6" t="n"/>
      <c r="G36" s="4" t="n"/>
      <c r="H36" s="6" t="n"/>
    </row>
    <row r="37">
      <c r="A37" s="19" t="n"/>
      <c r="B37" s="6" t="n"/>
      <c r="C37" s="64" t="n"/>
      <c r="D37" s="6" t="n"/>
      <c r="E37" s="6" t="n"/>
      <c r="F37" s="6" t="n"/>
      <c r="G37" s="4" t="n"/>
      <c r="H37" s="6" t="n"/>
    </row>
    <row r="38">
      <c r="A38" s="19" t="n"/>
      <c r="B38" s="6" t="n"/>
      <c r="C38" s="64" t="n"/>
      <c r="D38" s="6" t="n"/>
      <c r="E38" s="6" t="n"/>
      <c r="F38" s="6" t="n"/>
      <c r="G38" s="4" t="n"/>
      <c r="H38" s="6" t="n"/>
    </row>
    <row r="39">
      <c r="A39" s="19" t="n"/>
      <c r="B39" s="6" t="n"/>
      <c r="C39" s="64" t="n"/>
      <c r="D39" s="6" t="n"/>
      <c r="E39" s="6" t="n"/>
      <c r="F39" s="6" t="n"/>
      <c r="G39" s="4" t="n"/>
      <c r="H39" s="6" t="n"/>
    </row>
    <row r="41">
      <c r="A41" s="88" t="inlineStr">
        <is>
          <t>Approved by the board on: ____-__-__     Next review: ____-__-__ (half-yearly)     Version: 0.1 draft</t>
        </is>
      </c>
    </row>
  </sheetData>
  <autoFilter ref="A4:H39"/>
  <mergeCells count="2">
    <mergeCell ref="A2:F2"/>
    <mergeCell ref="A1:F1"/>
  </mergeCells>
  <conditionalFormatting sqref="G5:G39">
    <cfRule type="cellIs" priority="1" operator="equal" dxfId="2">
      <formula>"Y"</formula>
    </cfRule>
  </conditionalFormatting>
  <conditionalFormatting sqref="D5:D39">
    <cfRule type="cellIs" priority="2" operator="equal" dxfId="0">
      <formula>"Board (all 3 directors)"</formula>
    </cfRule>
    <cfRule type="cellIs" priority="3" operator="equal" dxfId="2">
      <formula>"CEO/CTO + COO"</formula>
    </cfRule>
  </conditionalFormatting>
  <dataValidations count="2">
    <dataValidation sqref="D5:D39" showDropDown="0" showInputMessage="0" showErrorMessage="1" allowBlank="1" errorTitle="Pick from list" error="Please pick a value from the dropdown." type="list">
      <formula1>"Function owner,Support/Ops lead,Domain director,COO,CEO/CTO,CEO/CTO + COO,Board (all 3 directors)"</formula1>
    </dataValidation>
    <dataValidation sqref="G5:G39" showDropDown="0" showInputMessage="0" showErrorMessage="1" allowBlank="1" errorTitle="Pick from list" error="Please pick a value from the dropdown." type="list">
      <formula1>"Y,N"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75569"/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0" customWidth="1" min="2" max="2"/>
    <col width="11" customWidth="1" min="3" max="3"/>
    <col width="9" customWidth="1" min="4" max="4"/>
    <col width="10" customWidth="1" min="5" max="5"/>
    <col width="12" customWidth="1" min="6" max="6"/>
    <col width="9" customWidth="1" min="7" max="7"/>
    <col width="11" customWidth="1" min="8" max="8"/>
    <col width="34" customWidth="1" min="9" max="9"/>
    <col width="14" customWidth="1" min="10" max="10"/>
    <col width="11" customWidth="1" min="11" max="11"/>
    <col width="10" customWidth="1" min="12" max="12"/>
    <col width="11" customWidth="1" min="13" max="13"/>
    <col width="44" customWidth="1" min="14" max="14"/>
  </cols>
  <sheetData>
    <row r="1" ht="40" customHeight="1">
      <c r="A1" s="1" t="inlineStr">
        <is>
          <t>Automation Backlog — candidate tasks to eliminate/simplify/standardise/automate: frequency, minutes per run, hours saved per year, risk, human-in-the-loop, tool, owner, status, ROI (lesson 18).</t>
        </is>
      </c>
    </row>
    <row r="2" ht="30" customHeight="1">
      <c r="A2" s="2" t="inlineStr">
        <is>
          <t>Example rows (grey italic) are illustrative — replace with real data. Yellow = input, blue = formula (do not overwrite). Runs/yr from frequency: daily 250, weekly 52, monthly 12, quarterly 4, yearly 1. Never automate a mess — standardise first; keep a human in the loop for money, legal and customer-facing sends.</t>
        </is>
      </c>
    </row>
    <row r="4" ht="32" customHeight="1">
      <c r="A4" s="3" t="inlineStr">
        <is>
          <t>#</t>
        </is>
      </c>
      <c r="B4" s="3" t="inlineStr">
        <is>
          <t>Task</t>
        </is>
      </c>
      <c r="C4" s="3" t="inlineStr">
        <is>
          <t>Frequency</t>
        </is>
      </c>
      <c r="D4" s="3" t="inlineStr">
        <is>
          <t>Runs / yr</t>
        </is>
      </c>
      <c r="E4" s="3" t="inlineStr">
        <is>
          <t>Minutes per run</t>
        </is>
      </c>
      <c r="F4" s="3" t="inlineStr">
        <is>
          <t>Hours / yr saved</t>
        </is>
      </c>
      <c r="G4" s="3" t="inlineStr">
        <is>
          <t>Risk</t>
        </is>
      </c>
      <c r="H4" s="3" t="inlineStr">
        <is>
          <t>Human in loop?</t>
        </is>
      </c>
      <c r="I4" s="3" t="inlineStr">
        <is>
          <t>Tool</t>
        </is>
      </c>
      <c r="J4" s="3" t="inlineStr">
        <is>
          <t>Owner</t>
        </is>
      </c>
      <c r="K4" s="3" t="inlineStr">
        <is>
          <t>Status</t>
        </is>
      </c>
      <c r="L4" s="3" t="inlineStr">
        <is>
          <t>Build effort (hrs)</t>
        </is>
      </c>
      <c r="M4" s="3" t="inlineStr">
        <is>
          <t>ROI (hrs saved ÷ build hrs)</t>
        </is>
      </c>
      <c r="N4" s="3" t="inlineStr">
        <is>
          <t>Notes</t>
        </is>
      </c>
    </row>
    <row r="5">
      <c r="A5" s="84" t="n">
        <v>1</v>
      </c>
      <c r="B5" s="56" t="inlineStr">
        <is>
          <t>Rate-window reminder digest — nudge dealers who have not confirmed tomorrow's rate by 11 PM (WhatsApp/push), summary to Support/Ops at 6 AM</t>
        </is>
      </c>
      <c r="C5" s="14" t="inlineStr">
        <is>
          <t>Daily</t>
        </is>
      </c>
      <c r="D5" s="89">
        <f>IF(C5="Daily",250,IF(C5="Weekly",52,IF(C5="Monthly",12,IF(C5="Quarterly",4,IF(C5="Yearly",1,"")))))</f>
        <v/>
      </c>
      <c r="E5" s="90" t="n">
        <v>15</v>
      </c>
      <c r="F5" s="91">
        <f>IF(D5="","",IF(E5="","",E5*D5/60))</f>
        <v/>
      </c>
      <c r="G5" s="14" t="inlineStr">
        <is>
          <t>Low</t>
        </is>
      </c>
      <c r="H5" s="84" t="inlineStr">
        <is>
          <t>N</t>
        </is>
      </c>
      <c r="I5" s="56" t="inlineStr">
        <is>
          <t>cron on EC2 + OneSignal / WhatsApp API</t>
        </is>
      </c>
      <c r="J5" s="14" t="inlineStr">
        <is>
          <t>Developer</t>
        </is>
      </c>
      <c r="K5" s="14" t="inlineStr">
        <is>
          <t>Backlog</t>
        </is>
      </c>
      <c r="L5" s="90" t="n">
        <v>12</v>
      </c>
      <c r="M5" s="92">
        <f>IF(F5="","",IF(L5="","",IF(L5=0,"",F5/L5)))</f>
        <v/>
      </c>
      <c r="N5" s="56" t="inlineStr">
        <is>
          <t>Lesson 18 worked example 1; scorecard row 'rate-confirmation rate' should move.</t>
        </is>
      </c>
    </row>
    <row r="6">
      <c r="A6" s="84" t="n">
        <v>2</v>
      </c>
      <c r="B6" s="56" t="inlineStr">
        <is>
          <t>Weekly scorecard auto-fill from Mongo (active tenants, invoices/week, activation, churn) into the KPI Scorecard sheet</t>
        </is>
      </c>
      <c r="C6" s="14" t="inlineStr">
        <is>
          <t>Weekly</t>
        </is>
      </c>
      <c r="D6" s="89">
        <f>IF(C6="Daily",250,IF(C6="Weekly",52,IF(C6="Monthly",12,IF(C6="Quarterly",4,IF(C6="Yearly",1,"")))))</f>
        <v/>
      </c>
      <c r="E6" s="90" t="n">
        <v>90</v>
      </c>
      <c r="F6" s="91">
        <f>IF(D6="","",IF(E6="","",E6*D6/60))</f>
        <v/>
      </c>
      <c r="G6" s="14" t="inlineStr">
        <is>
          <t>Low</t>
        </is>
      </c>
      <c r="H6" s="84" t="inlineStr">
        <is>
          <t>Y</t>
        </is>
      </c>
      <c r="I6" s="56" t="inlineStr">
        <is>
          <t>Node script + Google Sheets API (or Apps Script)</t>
        </is>
      </c>
      <c r="J6" s="14" t="inlineStr">
        <is>
          <t>Developer</t>
        </is>
      </c>
      <c r="K6" s="14" t="inlineStr">
        <is>
          <t>Idea</t>
        </is>
      </c>
      <c r="L6" s="90" t="n">
        <v>16</v>
      </c>
      <c r="M6" s="92">
        <f>IF(F6="","",IF(L6="","",IF(L6=0,"",F6/L6)))</f>
        <v/>
      </c>
      <c r="N6" s="56" t="inlineStr">
        <is>
          <t>Human reviews numbers before Monday 10:00; keeps 'one owner per row'.</t>
        </is>
      </c>
    </row>
    <row r="7">
      <c r="A7" s="84" t="n">
        <v>3</v>
      </c>
      <c r="B7" s="56" t="inlineStr">
        <is>
          <t>AR dunning sequence — reminders at due−3, due, +7, +14 days with escalating tone; stop on payment</t>
        </is>
      </c>
      <c r="C7" s="14" t="inlineStr">
        <is>
          <t>Weekly</t>
        </is>
      </c>
      <c r="D7" s="89">
        <f>IF(C7="Daily",250,IF(C7="Weekly",52,IF(C7="Monthly",12,IF(C7="Quarterly",4,IF(C7="Yearly",1,"")))))</f>
        <v/>
      </c>
      <c r="E7" s="90" t="n">
        <v>60</v>
      </c>
      <c r="F7" s="91">
        <f>IF(D7="","",IF(E7="","",E7*D7/60))</f>
        <v/>
      </c>
      <c r="G7" s="14" t="inlineStr">
        <is>
          <t>Medium</t>
        </is>
      </c>
      <c r="H7" s="84" t="inlineStr">
        <is>
          <t>Y</t>
        </is>
      </c>
      <c r="I7" s="56" t="inlineStr">
        <is>
          <t>ERPNext auto-reminders / notifications</t>
        </is>
      </c>
      <c r="J7" s="14" t="inlineStr">
        <is>
          <t>COO</t>
        </is>
      </c>
      <c r="K7" s="14" t="inlineStr">
        <is>
          <t>Idea</t>
        </is>
      </c>
      <c r="L7" s="90" t="n">
        <v>8</v>
      </c>
      <c r="M7" s="92">
        <f>IF(F7="","",IF(L7="","",IF(L7=0,"",F7/L7)))</f>
        <v/>
      </c>
      <c r="N7" s="56" t="inlineStr">
        <is>
          <t>Only once invoicing starts; wording approved by domain director.</t>
        </is>
      </c>
    </row>
    <row r="8">
      <c r="A8" s="84" t="n">
        <v>4</v>
      </c>
      <c r="B8" s="56" t="inlineStr">
        <is>
          <t>Incident status broadcast — one command posts status to dealers' WhatsApp + status page + internal chat</t>
        </is>
      </c>
      <c r="C8" s="14" t="inlineStr">
        <is>
          <t>Monthly</t>
        </is>
      </c>
      <c r="D8" s="89">
        <f>IF(C8="Daily",250,IF(C8="Weekly",52,IF(C8="Monthly",12,IF(C8="Quarterly",4,IF(C8="Yearly",1,"")))))</f>
        <v/>
      </c>
      <c r="E8" s="90" t="n">
        <v>40</v>
      </c>
      <c r="F8" s="91">
        <f>IF(D8="","",IF(E8="","",E8*D8/60))</f>
        <v/>
      </c>
      <c r="G8" s="14" t="inlineStr">
        <is>
          <t>Medium</t>
        </is>
      </c>
      <c r="H8" s="84" t="inlineStr">
        <is>
          <t>Y</t>
        </is>
      </c>
      <c r="I8" s="56" t="inlineStr">
        <is>
          <t>n8n flow + WhatsApp API + Better Stack status page</t>
        </is>
      </c>
      <c r="J8" s="14" t="inlineStr">
        <is>
          <t>Support/Ops</t>
        </is>
      </c>
      <c r="K8" s="14" t="inlineStr">
        <is>
          <t>Idea</t>
        </is>
      </c>
      <c r="L8" s="90" t="n">
        <v>10</v>
      </c>
      <c r="M8" s="92">
        <f>IF(F8="","",IF(L8="","",IF(L8=0,"",F8/L8)))</f>
        <v/>
      </c>
      <c r="N8" s="56" t="inlineStr">
        <is>
          <t>Human approves the message; template from T17.</t>
        </is>
      </c>
    </row>
    <row r="9">
      <c r="A9" s="84" t="n">
        <v>5</v>
      </c>
      <c r="B9" s="56" t="inlineStr">
        <is>
          <t>New-tenant onboarding checklist bot — creates the checklist, schedules day-1/3/7/14 nudges, flags no-invoice-by-day-14</t>
        </is>
      </c>
      <c r="C9" s="14" t="inlineStr">
        <is>
          <t>Weekly</t>
        </is>
      </c>
      <c r="D9" s="89">
        <f>IF(C9="Daily",250,IF(C9="Weekly",52,IF(C9="Monthly",12,IF(C9="Quarterly",4,IF(C9="Yearly",1,"")))))</f>
        <v/>
      </c>
      <c r="E9" s="90" t="n">
        <v>45</v>
      </c>
      <c r="F9" s="91">
        <f>IF(D9="","",IF(E9="","",E9*D9/60))</f>
        <v/>
      </c>
      <c r="G9" s="14" t="inlineStr">
        <is>
          <t>Low</t>
        </is>
      </c>
      <c r="H9" s="84" t="inlineStr">
        <is>
          <t>N</t>
        </is>
      </c>
      <c r="I9" s="56" t="inlineStr">
        <is>
          <t>Apps Script / n8n + ERPNext ToDo</t>
        </is>
      </c>
      <c r="J9" s="14" t="inlineStr">
        <is>
          <t>Support/Ops</t>
        </is>
      </c>
      <c r="K9" s="14" t="inlineStr">
        <is>
          <t>Backlog</t>
        </is>
      </c>
      <c r="L9" s="90" t="n">
        <v>12</v>
      </c>
      <c r="M9" s="92">
        <f>IF(F9="","",IF(L9="","",IF(L9=0,"",F9/L9)))</f>
        <v/>
      </c>
      <c r="N9" s="56" t="inlineStr">
        <is>
          <t>Feeds activation rate; owner reviews flags in the weekly ops meeting.</t>
        </is>
      </c>
    </row>
    <row r="10">
      <c r="A10" s="84" t="n">
        <v>6</v>
      </c>
      <c r="B10" s="56" t="inlineStr">
        <is>
          <t>Monthly compliance reminders — 30/7/1-day alerts from the Compliance Calendar to COO + CA</t>
        </is>
      </c>
      <c r="C10" s="14" t="inlineStr">
        <is>
          <t>Monthly</t>
        </is>
      </c>
      <c r="D10" s="89">
        <f>IF(C10="Daily",250,IF(C10="Weekly",52,IF(C10="Monthly",12,IF(C10="Quarterly",4,IF(C10="Yearly",1,"")))))</f>
        <v/>
      </c>
      <c r="E10" s="90" t="n">
        <v>30</v>
      </c>
      <c r="F10" s="91">
        <f>IF(D10="","",IF(E10="","",E10*D10/60))</f>
        <v/>
      </c>
      <c r="G10" s="14" t="inlineStr">
        <is>
          <t>Low</t>
        </is>
      </c>
      <c r="H10" s="84" t="inlineStr">
        <is>
          <t>N</t>
        </is>
      </c>
      <c r="I10" s="56" t="inlineStr">
        <is>
          <t>Google Calendar + Apps Script (reads this workbook)</t>
        </is>
      </c>
      <c r="J10" s="14" t="inlineStr">
        <is>
          <t>COO</t>
        </is>
      </c>
      <c r="K10" s="14" t="inlineStr">
        <is>
          <t>Building</t>
        </is>
      </c>
      <c r="L10" s="90" t="n">
        <v>4</v>
      </c>
      <c r="M10" s="92">
        <f>IF(F10="","",IF(L10="","",IF(L10=0,"",F10/L10)))</f>
        <v/>
      </c>
      <c r="N10" s="56" t="inlineStr">
        <is>
          <t>Cheapest first automation; VERIFY dates with CA remain a human step.</t>
        </is>
      </c>
    </row>
    <row r="11">
      <c r="A11" s="4" t="n"/>
      <c r="B11" s="6" t="n"/>
      <c r="C11" s="19" t="n"/>
      <c r="D11" s="80">
        <f>IF(C11="Daily",250,IF(C11="Weekly",52,IF(C11="Monthly",12,IF(C11="Quarterly",4,IF(C11="Yearly",1,"")))))</f>
        <v/>
      </c>
      <c r="E11" s="93" t="n"/>
      <c r="F11" s="75">
        <f>IF(D11="","",IF(E11="","",E11*D11/60))</f>
        <v/>
      </c>
      <c r="G11" s="19" t="n"/>
      <c r="H11" s="4" t="n"/>
      <c r="I11" s="6" t="n"/>
      <c r="J11" s="19" t="n"/>
      <c r="K11" s="19" t="n"/>
      <c r="L11" s="93" t="n"/>
      <c r="M11" s="94">
        <f>IF(F11="","",IF(L11="","",IF(L11=0,"",F11/L11)))</f>
        <v/>
      </c>
      <c r="N11" s="6" t="n"/>
    </row>
    <row r="12">
      <c r="A12" s="4" t="n"/>
      <c r="B12" s="6" t="n"/>
      <c r="C12" s="19" t="n"/>
      <c r="D12" s="80">
        <f>IF(C12="Daily",250,IF(C12="Weekly",52,IF(C12="Monthly",12,IF(C12="Quarterly",4,IF(C12="Yearly",1,"")))))</f>
        <v/>
      </c>
      <c r="E12" s="93" t="n"/>
      <c r="F12" s="75">
        <f>IF(D12="","",IF(E12="","",E12*D12/60))</f>
        <v/>
      </c>
      <c r="G12" s="19" t="n"/>
      <c r="H12" s="4" t="n"/>
      <c r="I12" s="6" t="n"/>
      <c r="J12" s="19" t="n"/>
      <c r="K12" s="19" t="n"/>
      <c r="L12" s="93" t="n"/>
      <c r="M12" s="94">
        <f>IF(F12="","",IF(L12="","",IF(L12=0,"",F12/L12)))</f>
        <v/>
      </c>
      <c r="N12" s="6" t="n"/>
    </row>
    <row r="13">
      <c r="A13" s="4" t="n"/>
      <c r="B13" s="6" t="n"/>
      <c r="C13" s="19" t="n"/>
      <c r="D13" s="80">
        <f>IF(C13="Daily",250,IF(C13="Weekly",52,IF(C13="Monthly",12,IF(C13="Quarterly",4,IF(C13="Yearly",1,"")))))</f>
        <v/>
      </c>
      <c r="E13" s="93" t="n"/>
      <c r="F13" s="75">
        <f>IF(D13="","",IF(E13="","",E13*D13/60))</f>
        <v/>
      </c>
      <c r="G13" s="19" t="n"/>
      <c r="H13" s="4" t="n"/>
      <c r="I13" s="6" t="n"/>
      <c r="J13" s="19" t="n"/>
      <c r="K13" s="19" t="n"/>
      <c r="L13" s="93" t="n"/>
      <c r="M13" s="94">
        <f>IF(F13="","",IF(L13="","",IF(L13=0,"",F13/L13)))</f>
        <v/>
      </c>
      <c r="N13" s="6" t="n"/>
    </row>
    <row r="14">
      <c r="A14" s="4" t="n"/>
      <c r="B14" s="6" t="n"/>
      <c r="C14" s="19" t="n"/>
      <c r="D14" s="80">
        <f>IF(C14="Daily",250,IF(C14="Weekly",52,IF(C14="Monthly",12,IF(C14="Quarterly",4,IF(C14="Yearly",1,"")))))</f>
        <v/>
      </c>
      <c r="E14" s="93" t="n"/>
      <c r="F14" s="75">
        <f>IF(D14="","",IF(E14="","",E14*D14/60))</f>
        <v/>
      </c>
      <c r="G14" s="19" t="n"/>
      <c r="H14" s="4" t="n"/>
      <c r="I14" s="6" t="n"/>
      <c r="J14" s="19" t="n"/>
      <c r="K14" s="19" t="n"/>
      <c r="L14" s="93" t="n"/>
      <c r="M14" s="94">
        <f>IF(F14="","",IF(L14="","",IF(L14=0,"",F14/L14)))</f>
        <v/>
      </c>
      <c r="N14" s="6" t="n"/>
    </row>
    <row r="15">
      <c r="A15" s="4" t="n"/>
      <c r="B15" s="6" t="n"/>
      <c r="C15" s="19" t="n"/>
      <c r="D15" s="80">
        <f>IF(C15="Daily",250,IF(C15="Weekly",52,IF(C15="Monthly",12,IF(C15="Quarterly",4,IF(C15="Yearly",1,"")))))</f>
        <v/>
      </c>
      <c r="E15" s="93" t="n"/>
      <c r="F15" s="75">
        <f>IF(D15="","",IF(E15="","",E15*D15/60))</f>
        <v/>
      </c>
      <c r="G15" s="19" t="n"/>
      <c r="H15" s="4" t="n"/>
      <c r="I15" s="6" t="n"/>
      <c r="J15" s="19" t="n"/>
      <c r="K15" s="19" t="n"/>
      <c r="L15" s="93" t="n"/>
      <c r="M15" s="94">
        <f>IF(F15="","",IF(L15="","",IF(L15=0,"",F15/L15)))</f>
        <v/>
      </c>
      <c r="N15" s="6" t="n"/>
    </row>
    <row r="16">
      <c r="A16" s="4" t="n"/>
      <c r="B16" s="6" t="n"/>
      <c r="C16" s="19" t="n"/>
      <c r="D16" s="80">
        <f>IF(C16="Daily",250,IF(C16="Weekly",52,IF(C16="Monthly",12,IF(C16="Quarterly",4,IF(C16="Yearly",1,"")))))</f>
        <v/>
      </c>
      <c r="E16" s="93" t="n"/>
      <c r="F16" s="75">
        <f>IF(D16="","",IF(E16="","",E16*D16/60))</f>
        <v/>
      </c>
      <c r="G16" s="19" t="n"/>
      <c r="H16" s="4" t="n"/>
      <c r="I16" s="6" t="n"/>
      <c r="J16" s="19" t="n"/>
      <c r="K16" s="19" t="n"/>
      <c r="L16" s="93" t="n"/>
      <c r="M16" s="94">
        <f>IF(F16="","",IF(L16="","",IF(L16=0,"",F16/L16)))</f>
        <v/>
      </c>
      <c r="N16" s="6" t="n"/>
    </row>
    <row r="17">
      <c r="A17" s="4" t="n"/>
      <c r="B17" s="6" t="n"/>
      <c r="C17" s="19" t="n"/>
      <c r="D17" s="80">
        <f>IF(C17="Daily",250,IF(C17="Weekly",52,IF(C17="Monthly",12,IF(C17="Quarterly",4,IF(C17="Yearly",1,"")))))</f>
        <v/>
      </c>
      <c r="E17" s="93" t="n"/>
      <c r="F17" s="75">
        <f>IF(D17="","",IF(E17="","",E17*D17/60))</f>
        <v/>
      </c>
      <c r="G17" s="19" t="n"/>
      <c r="H17" s="4" t="n"/>
      <c r="I17" s="6" t="n"/>
      <c r="J17" s="19" t="n"/>
      <c r="K17" s="19" t="n"/>
      <c r="L17" s="93" t="n"/>
      <c r="M17" s="94">
        <f>IF(F17="","",IF(L17="","",IF(L17=0,"",F17/L17)))</f>
        <v/>
      </c>
      <c r="N17" s="6" t="n"/>
    </row>
    <row r="18">
      <c r="A18" s="4" t="n"/>
      <c r="B18" s="6" t="n"/>
      <c r="C18" s="19" t="n"/>
      <c r="D18" s="80">
        <f>IF(C18="Daily",250,IF(C18="Weekly",52,IF(C18="Monthly",12,IF(C18="Quarterly",4,IF(C18="Yearly",1,"")))))</f>
        <v/>
      </c>
      <c r="E18" s="93" t="n"/>
      <c r="F18" s="75">
        <f>IF(D18="","",IF(E18="","",E18*D18/60))</f>
        <v/>
      </c>
      <c r="G18" s="19" t="n"/>
      <c r="H18" s="4" t="n"/>
      <c r="I18" s="6" t="n"/>
      <c r="J18" s="19" t="n"/>
      <c r="K18" s="19" t="n"/>
      <c r="L18" s="93" t="n"/>
      <c r="M18" s="94">
        <f>IF(F18="","",IF(L18="","",IF(L18=0,"",F18/L18)))</f>
        <v/>
      </c>
      <c r="N18" s="6" t="n"/>
    </row>
    <row r="19">
      <c r="A19" s="4" t="n"/>
      <c r="B19" s="6" t="n"/>
      <c r="C19" s="19" t="n"/>
      <c r="D19" s="80">
        <f>IF(C19="Daily",250,IF(C19="Weekly",52,IF(C19="Monthly",12,IF(C19="Quarterly",4,IF(C19="Yearly",1,"")))))</f>
        <v/>
      </c>
      <c r="E19" s="93" t="n"/>
      <c r="F19" s="75">
        <f>IF(D19="","",IF(E19="","",E19*D19/60))</f>
        <v/>
      </c>
      <c r="G19" s="19" t="n"/>
      <c r="H19" s="4" t="n"/>
      <c r="I19" s="6" t="n"/>
      <c r="J19" s="19" t="n"/>
      <c r="K19" s="19" t="n"/>
      <c r="L19" s="93" t="n"/>
      <c r="M19" s="94">
        <f>IF(F19="","",IF(L19="","",IF(L19=0,"",F19/L19)))</f>
        <v/>
      </c>
      <c r="N19" s="6" t="n"/>
    </row>
    <row r="20">
      <c r="A20" s="4" t="n"/>
      <c r="B20" s="6" t="n"/>
      <c r="C20" s="19" t="n"/>
      <c r="D20" s="80">
        <f>IF(C20="Daily",250,IF(C20="Weekly",52,IF(C20="Monthly",12,IF(C20="Quarterly",4,IF(C20="Yearly",1,"")))))</f>
        <v/>
      </c>
      <c r="E20" s="93" t="n"/>
      <c r="F20" s="75">
        <f>IF(D20="","",IF(E20="","",E20*D20/60))</f>
        <v/>
      </c>
      <c r="G20" s="19" t="n"/>
      <c r="H20" s="4" t="n"/>
      <c r="I20" s="6" t="n"/>
      <c r="J20" s="19" t="n"/>
      <c r="K20" s="19" t="n"/>
      <c r="L20" s="93" t="n"/>
      <c r="M20" s="94">
        <f>IF(F20="","",IF(L20="","",IF(L20=0,"",F20/L20)))</f>
        <v/>
      </c>
      <c r="N20" s="6" t="n"/>
    </row>
    <row r="21">
      <c r="A21" s="24" t="n"/>
      <c r="B21" s="38" t="inlineStr">
        <is>
          <t>Total hours / yr saved (all rows) · Live automations</t>
        </is>
      </c>
      <c r="C21" s="24" t="n"/>
      <c r="D21" s="24" t="n"/>
      <c r="E21" s="24" t="n"/>
      <c r="F21" s="75">
        <f>SUM(F5:F20)</f>
        <v/>
      </c>
      <c r="G21" s="24" t="n"/>
      <c r="H21" s="24" t="n"/>
      <c r="I21" s="24" t="n"/>
      <c r="J21" s="24" t="n"/>
      <c r="K21" s="74">
        <f>COUNTIF(K5:K20,"Live")</f>
        <v/>
      </c>
      <c r="L21" s="24" t="n"/>
      <c r="M21" s="24" t="n"/>
      <c r="N21" s="24" t="n"/>
    </row>
  </sheetData>
  <autoFilter ref="A4:N20"/>
  <mergeCells count="2">
    <mergeCell ref="A1:I1"/>
    <mergeCell ref="A2:I2"/>
  </mergeCells>
  <conditionalFormatting sqref="K5:K20">
    <cfRule type="cellIs" priority="1" operator="equal" dxfId="1">
      <formula>"Live"</formula>
    </cfRule>
    <cfRule type="cellIs" priority="2" operator="equal" dxfId="2">
      <formula>"Building"</formula>
    </cfRule>
  </conditionalFormatting>
  <conditionalFormatting sqref="G5:G20">
    <cfRule type="cellIs" priority="3" operator="equal" dxfId="0">
      <formula>"High"</formula>
    </cfRule>
    <cfRule type="cellIs" priority="4" operator="equal" dxfId="2">
      <formula>"Medium"</formula>
    </cfRule>
  </conditionalFormatting>
  <conditionalFormatting sqref="F5:F20">
    <cfRule type="expression" priority="5" dxfId="1">
      <formula>IF(F5="",FALSE,F5&gt;=40)</formula>
    </cfRule>
  </conditionalFormatting>
  <dataValidations count="5">
    <dataValidation sqref="C5:C20" showDropDown="0" showInputMessage="0" showErrorMessage="1" allowBlank="1" errorTitle="Pick from list" error="Please pick a value from the dropdown." type="list">
      <formula1>"Daily,Weekly,Monthly,Quarterly,Yearly"</formula1>
    </dataValidation>
    <dataValidation sqref="G5:G20" showDropDown="0" showInputMessage="0" showErrorMessage="1" allowBlank="1" errorTitle="Pick from list" error="Please pick a value from the dropdown." type="list">
      <formula1>"Low,Medium,High"</formula1>
    </dataValidation>
    <dataValidation sqref="H5:H20" showDropDown="0" showInputMessage="0" showErrorMessage="1" allowBlank="1" errorTitle="Pick from list" error="Please pick a value from the dropdown." type="list">
      <formula1>"Y,N"</formula1>
    </dataValidation>
    <dataValidation sqref="J5:J20" showDropDown="0" showInputMessage="0" showErrorMessage="1" allowBlank="1" errorTitle="Pick from list" error="Please pick a value from the dropdown." type="list">
      <formula1>"CEO/CTO,COO,Domain director,Support/Ops,Developer,CA/CS (external)"</formula1>
    </dataValidation>
    <dataValidation sqref="K5:K20" showDropDown="0" showInputMessage="0" showErrorMessage="1" allowBlank="1" errorTitle="Pick from list" error="Please pick a value from the dropdown." type="list">
      <formula1>"Idea,Backlog,Building,Live,Retired"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VSYST COO-Docs build_workbook.py</dc:creator>
  <dc:title>VSYST COO Workbook</dc:title>
  <dc:description>Version 1.0, generated 2026-08-19</dc:description>
  <dcterms:created xsi:type="dcterms:W3CDTF">2026-08-19T04:19:36Z</dcterms:created>
  <dcterms:modified xsi:type="dcterms:W3CDTF">2026-08-19T04:19:36Z</dcterms:modified>
</cp:coreProperties>
</file>