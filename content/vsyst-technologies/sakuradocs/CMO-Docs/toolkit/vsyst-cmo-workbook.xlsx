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rget List" sheetId="2" state="visible" r:id="rId2"/>
    <sheet xmlns:r="http://schemas.openxmlformats.org/officeDocument/2006/relationships" name="Pipeline" sheetId="3" state="visible" r:id="rId3"/>
    <sheet xmlns:r="http://schemas.openxmlformats.org/officeDocument/2006/relationships" name="Marketing Scorecard" sheetId="4" state="visible" r:id="rId4"/>
    <sheet xmlns:r="http://schemas.openxmlformats.org/officeDocument/2006/relationships" name="CAC &amp; Payback" sheetId="5" state="visible" r:id="rId5"/>
    <sheet xmlns:r="http://schemas.openxmlformats.org/officeDocument/2006/relationships" name="Campaign Budget" sheetId="6" state="visible" r:id="rId6"/>
    <sheet xmlns:r="http://schemas.openxmlformats.org/officeDocument/2006/relationships" name="Content Calendar" sheetId="7" state="visible" r:id="rId7"/>
    <sheet xmlns:r="http://schemas.openxmlformats.org/officeDocument/2006/relationships" name="Referral Tracker" sheetId="8" state="visible" r:id="rId8"/>
    <sheet xmlns:r="http://schemas.openxmlformats.org/officeDocument/2006/relationships" name="Channel Experiments" sheetId="9" state="visible" r:id="rId9"/>
  </sheets>
  <definedNames/>
  <calcPr calcId="124519" fullCalcOnLoad="1"/>
</workbook>
</file>

<file path=xl/styles.xml><?xml version="1.0" encoding="utf-8"?>
<styleSheet xmlns="http://schemas.openxmlformats.org/spreadsheetml/2006/main">
  <numFmts count="5">
    <numFmt numFmtId="164" formatCode="yyyy-mm-dd"/>
    <numFmt numFmtId="165" formatCode="dd mmm yyyy"/>
    <numFmt numFmtId="166" formatCode="&quot;₹&quot;#,##0;-&quot;₹&quot;#,##0"/>
    <numFmt numFmtId="167" formatCode="0.0%"/>
    <numFmt numFmtId="168" formatCode="0.0"/>
  </numFmts>
  <fonts count="12">
    <font>
      <name val="Calibri"/>
      <family val="2"/>
      <color theme="1"/>
      <sz val="11"/>
      <scheme val="minor"/>
    </font>
    <font>
      <b val="1"/>
      <color rgb="000F172A"/>
      <sz val="13"/>
    </font>
    <font>
      <i val="1"/>
      <color rgb="0064748B"/>
      <sz val="9"/>
    </font>
    <font>
      <b val="1"/>
      <color rgb="00FFFFFF"/>
      <sz val="10"/>
    </font>
    <font>
      <b val="1"/>
      <color rgb="000F172A"/>
      <sz val="10"/>
    </font>
    <font>
      <color rgb="0064748B"/>
      <sz val="9"/>
    </font>
    <font>
      <b val="1"/>
      <color rgb="00B91C1C"/>
      <sz val="10"/>
    </font>
    <font>
      <i val="1"/>
      <color rgb="00808080"/>
    </font>
    <font>
      <color rgb="000F172A"/>
      <sz val="10"/>
    </font>
    <font>
      <b val="1"/>
      <color rgb="0064748B"/>
      <sz val="9"/>
    </font>
    <font>
      <b val="1"/>
    </font>
    <font>
      <b val="1"/>
      <color rgb="000F172A"/>
    </font>
  </fonts>
  <fills count="7">
    <fill>
      <patternFill/>
    </fill>
    <fill>
      <patternFill patternType="gray125"/>
    </fill>
    <fill>
      <patternFill patternType="solid">
        <fgColor rgb="00334155"/>
      </patternFill>
    </fill>
    <fill>
      <patternFill patternType="solid">
        <fgColor rgb="00FFF9C4"/>
      </patternFill>
    </fill>
    <fill>
      <patternFill patternType="solid">
        <fgColor rgb="00E8F0FE"/>
      </patternFill>
    </fill>
    <fill>
      <patternFill patternType="solid">
        <fgColor rgb="00DCFCE7"/>
      </patternFill>
    </fill>
    <fill>
      <patternFill patternType="solid">
        <fgColor rgb="00E2E8F0"/>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6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0" pivotButton="0" quotePrefix="0" xfId="0"/>
    <xf numFmtId="0" fontId="0" fillId="3" borderId="1" pivotButton="0" quotePrefix="0" xfId="0"/>
    <xf numFmtId="0" fontId="5" fillId="0" borderId="0" applyAlignment="1" pivotButton="0" quotePrefix="0" xfId="0">
      <alignment wrapText="1"/>
    </xf>
    <xf numFmtId="0" fontId="0" fillId="4" borderId="1" pivotButton="0" quotePrefix="0" xfId="0"/>
    <xf numFmtId="0" fontId="0" fillId="5" borderId="1" pivotButton="0" quotePrefix="0" xfId="0"/>
    <xf numFmtId="0" fontId="0" fillId="6" borderId="1" pivotButton="0" quotePrefix="0" xfId="0"/>
    <xf numFmtId="0" fontId="6" fillId="0" borderId="0" pivotButton="0" quotePrefix="0" xfId="0"/>
    <xf numFmtId="0" fontId="2" fillId="0" borderId="0" applyAlignment="1" pivotButton="0" quotePrefix="0" xfId="0">
      <alignment vertical="top" wrapText="1"/>
    </xf>
    <xf numFmtId="0" fontId="4" fillId="6" borderId="0" pivotButton="0" quotePrefix="0" xfId="0"/>
    <xf numFmtId="0" fontId="0" fillId="6" borderId="0" pivotButton="0" quotePrefix="0" xfId="0"/>
    <xf numFmtId="0" fontId="7" fillId="3" borderId="1" applyAlignment="1" pivotButton="0" quotePrefix="0" xfId="0">
      <alignment vertical="top" wrapText="1"/>
    </xf>
    <xf numFmtId="1" fontId="7" fillId="3" borderId="1" applyAlignment="1" pivotButton="0" quotePrefix="0" xfId="0">
      <alignment vertical="top" wrapText="1"/>
    </xf>
    <xf numFmtId="1" fontId="7" fillId="4" borderId="1" applyAlignment="1" pivotButton="0" quotePrefix="0" xfId="0">
      <alignment vertical="top" wrapText="1"/>
    </xf>
    <xf numFmtId="0" fontId="7" fillId="4" borderId="1" applyAlignment="1" pivotButton="0" quotePrefix="0" xfId="0">
      <alignment vertical="top" wrapText="1"/>
    </xf>
    <xf numFmtId="165" fontId="7" fillId="3" borderId="1" applyAlignment="1" pivotButton="0" quotePrefix="0" xfId="0">
      <alignment vertical="top" wrapText="1"/>
    </xf>
    <xf numFmtId="0" fontId="0" fillId="5" borderId="1" applyAlignment="1" pivotButton="0" quotePrefix="0" xfId="0">
      <alignment vertical="top" wrapText="1"/>
    </xf>
    <xf numFmtId="1" fontId="0" fillId="5" borderId="1" applyAlignment="1" pivotButton="0" quotePrefix="0" xfId="0">
      <alignment vertical="top" wrapText="1"/>
    </xf>
    <xf numFmtId="1" fontId="0" fillId="4" borderId="1" applyAlignment="1" pivotButton="0" quotePrefix="0" xfId="0">
      <alignment vertical="top" wrapText="1"/>
    </xf>
    <xf numFmtId="0" fontId="0" fillId="4" borderId="1" applyAlignment="1" pivotButton="0" quotePrefix="0" xfId="0">
      <alignment vertical="top" wrapText="1"/>
    </xf>
    <xf numFmtId="165" fontId="0" fillId="5" borderId="1" applyAlignment="1" pivotButton="0" quotePrefix="0" xfId="0">
      <alignment vertical="top" wrapText="1"/>
    </xf>
    <xf numFmtId="3" fontId="0" fillId="4" borderId="1" applyAlignment="1" pivotButton="0" quotePrefix="0" xfId="0">
      <alignment vertical="top" wrapText="1"/>
    </xf>
    <xf numFmtId="0" fontId="0" fillId="0" borderId="4" pivotButton="0" quotePrefix="0" xfId="0"/>
    <xf numFmtId="0" fontId="0" fillId="0" borderId="5" pivotButton="0" quotePrefix="0" xfId="0"/>
    <xf numFmtId="166" fontId="7" fillId="3" borderId="1" applyAlignment="1" pivotButton="0" quotePrefix="0" xfId="0">
      <alignment vertical="top" wrapText="1"/>
    </xf>
    <xf numFmtId="166" fontId="0" fillId="5" borderId="1" applyAlignment="1" pivotButton="0" quotePrefix="0" xfId="0">
      <alignment vertical="top" wrapText="1"/>
    </xf>
    <xf numFmtId="1" fontId="8" fillId="4" borderId="1" applyAlignment="1" pivotButton="0" quotePrefix="0" xfId="0">
      <alignment vertical="top" wrapText="1"/>
    </xf>
    <xf numFmtId="167" fontId="0" fillId="4" borderId="1" applyAlignment="1" pivotButton="0" quotePrefix="0" xfId="0">
      <alignment vertical="top" wrapText="1"/>
    </xf>
    <xf numFmtId="168" fontId="0" fillId="4" borderId="1" applyAlignment="1" pivotButton="0" quotePrefix="0" xfId="0">
      <alignment vertical="top" wrapText="1"/>
    </xf>
    <xf numFmtId="0" fontId="9" fillId="0" borderId="0" pivotButton="0" quotePrefix="0" xfId="0"/>
    <xf numFmtId="165" fontId="0" fillId="5" borderId="1" pivotButton="0" quotePrefix="0" xfId="0"/>
    <xf numFmtId="165" fontId="0" fillId="4" borderId="1" pivotButton="0" quotePrefix="0" xfId="0"/>
    <xf numFmtId="3" fontId="0" fillId="0" borderId="1" applyAlignment="1" pivotButton="0" quotePrefix="0" xfId="0">
      <alignment vertical="top" wrapText="1"/>
    </xf>
    <xf numFmtId="3" fontId="7" fillId="3" borderId="1" applyAlignment="1" pivotButton="0" quotePrefix="0" xfId="0">
      <alignment vertical="top" wrapText="1"/>
    </xf>
    <xf numFmtId="3" fontId="0" fillId="5" borderId="1" applyAlignment="1" pivotButton="0" quotePrefix="0" xfId="0">
      <alignment vertical="top" wrapText="1"/>
    </xf>
    <xf numFmtId="3" fontId="0" fillId="4" borderId="1" pivotButton="0" quotePrefix="0" xfId="0"/>
    <xf numFmtId="0" fontId="0" fillId="4" borderId="1" applyAlignment="1" pivotButton="0" quotePrefix="0" xfId="0">
      <alignment horizontal="center"/>
    </xf>
    <xf numFmtId="0" fontId="10" fillId="4" borderId="1" applyAlignment="1" pivotButton="0" quotePrefix="0" xfId="0">
      <alignment horizontal="center"/>
    </xf>
    <xf numFmtId="0" fontId="5" fillId="5" borderId="1" applyAlignment="1" pivotButton="0" quotePrefix="0" xfId="0">
      <alignment vertical="top" wrapText="1"/>
    </xf>
    <xf numFmtId="168" fontId="0" fillId="0" borderId="1" applyAlignment="1" pivotButton="0" quotePrefix="0" xfId="0">
      <alignment vertical="top" wrapText="1"/>
    </xf>
    <xf numFmtId="168" fontId="0" fillId="5" borderId="1" applyAlignment="1" pivotButton="0" quotePrefix="0" xfId="0">
      <alignment vertical="top" wrapText="1"/>
    </xf>
    <xf numFmtId="168" fontId="0" fillId="4" borderId="1" pivotButton="0" quotePrefix="0" xfId="0"/>
    <xf numFmtId="167" fontId="0" fillId="0" borderId="1" applyAlignment="1" pivotButton="0" quotePrefix="0" xfId="0">
      <alignment vertical="top" wrapText="1"/>
    </xf>
    <xf numFmtId="167" fontId="7" fillId="3" borderId="1" applyAlignment="1" pivotButton="0" quotePrefix="0" xfId="0">
      <alignment vertical="top" wrapText="1"/>
    </xf>
    <xf numFmtId="167" fontId="0" fillId="5" borderId="1" applyAlignment="1" pivotButton="0" quotePrefix="0" xfId="0">
      <alignment vertical="top" wrapText="1"/>
    </xf>
    <xf numFmtId="167" fontId="0" fillId="4" borderId="1" pivotButton="0" quotePrefix="0" xfId="0"/>
    <xf numFmtId="166" fontId="0" fillId="0" borderId="1" applyAlignment="1" pivotButton="0" quotePrefix="0" xfId="0">
      <alignment vertical="top" wrapText="1"/>
    </xf>
    <xf numFmtId="166" fontId="0" fillId="4" borderId="1" pivotButton="0" quotePrefix="0" xfId="0"/>
    <xf numFmtId="166" fontId="0" fillId="4" borderId="1" applyAlignment="1" pivotButton="0" quotePrefix="0" xfId="0">
      <alignment vertical="top" wrapText="1"/>
    </xf>
    <xf numFmtId="166" fontId="7" fillId="4" borderId="1" applyAlignment="1" pivotButton="0" quotePrefix="0" xfId="0">
      <alignment vertical="top" wrapText="1"/>
    </xf>
    <xf numFmtId="168" fontId="7" fillId="4" borderId="1" applyAlignment="1" pivotButton="0" quotePrefix="0" xfId="0">
      <alignment vertical="top" wrapText="1"/>
    </xf>
    <xf numFmtId="0" fontId="11" fillId="0" borderId="1" applyAlignment="1" pivotButton="0" quotePrefix="0" xfId="0">
      <alignment vertical="top" wrapText="1"/>
    </xf>
    <xf numFmtId="166" fontId="11" fillId="4" borderId="1" applyAlignment="1" pivotButton="0" quotePrefix="0" xfId="0">
      <alignment vertical="top" wrapText="1"/>
    </xf>
    <xf numFmtId="1" fontId="11" fillId="4" borderId="1" applyAlignment="1" pivotButton="0" quotePrefix="0" xfId="0">
      <alignment vertical="top" wrapText="1"/>
    </xf>
    <xf numFmtId="168" fontId="11" fillId="4" borderId="1" applyAlignment="1" pivotButton="0" quotePrefix="0" xfId="0">
      <alignment vertical="top" wrapText="1"/>
    </xf>
    <xf numFmtId="2" fontId="0" fillId="4" borderId="1" applyAlignment="1" pivotButton="0" quotePrefix="0" xfId="0">
      <alignment vertical="top" wrapText="1"/>
    </xf>
    <xf numFmtId="167" fontId="7" fillId="4" borderId="1" applyAlignment="1" pivotButton="0" quotePrefix="0" xfId="0">
      <alignment vertical="top" wrapText="1"/>
    </xf>
    <xf numFmtId="167" fontId="11" fillId="4" borderId="1" applyAlignment="1" pivotButton="0" quotePrefix="0" xfId="0">
      <alignment vertical="top" wrapText="1"/>
    </xf>
    <xf numFmtId="3" fontId="11" fillId="4" borderId="1" applyAlignment="1" pivotButton="0" quotePrefix="0" xfId="0">
      <alignment vertical="top" wrapText="1"/>
    </xf>
    <xf numFmtId="0" fontId="11" fillId="0" borderId="0" pivotButton="0" quotePrefix="0" xfId="0"/>
  </cellXfs>
  <cellStyles count="1">
    <cellStyle name="Normal" xfId="0" builtinId="0" hidden="0"/>
  </cellStyles>
  <dxfs count="3">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4748B"/>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54" customWidth="1" min="3" max="3"/>
    <col width="54" customWidth="1" min="4" max="4"/>
    <col width="30" customWidth="1" min="5" max="5"/>
  </cols>
  <sheetData>
    <row r="1" ht="23" customHeight="1">
      <c r="A1" s="1" t="inlineStr">
        <is>
          <t>README — what each tab does, who owns it, and how to fill it</t>
        </is>
      </c>
    </row>
    <row r="2" ht="26" customHeight="1">
      <c r="A2" s="2" t="inlineStr">
        <is>
          <t>VSYST CMO Workbook · version 1.0 · built 2026-08-27 · companion to CMO-Docs. Grey italic on pale yellow = illustrative example data, overwrite it. Pale blue = a live formula, do not type over it. Pale green = a cell you are meant to type into. Import to Google Sheets: File → Import → Upload → Replace spreadsheet, then re-check the formulas on the CAC &amp; Payback and Pipeline tabs.</t>
        </is>
      </c>
    </row>
    <row r="4" ht="30" customHeight="1">
      <c r="A4" s="3" t="inlineStr">
        <is>
          <t>#</t>
        </is>
      </c>
      <c r="B4" s="3" t="inlineStr">
        <is>
          <t>Tab</t>
        </is>
      </c>
      <c r="C4" s="3" t="inlineStr">
        <is>
          <t>What it does</t>
        </is>
      </c>
      <c r="D4" s="3" t="inlineStr">
        <is>
          <t>Key formulas / how to fill</t>
        </is>
      </c>
      <c r="E4" s="3" t="inlineStr">
        <is>
          <t>Owner · cadence</t>
        </is>
      </c>
    </row>
    <row r="5" ht="58" customHeight="1">
      <c r="A5" s="4" t="n">
        <v>1</v>
      </c>
      <c r="B5" s="4" t="inlineStr">
        <is>
          <t>README</t>
        </is>
      </c>
      <c r="C5" s="4" t="inlineStr">
        <is>
          <t>This page: tab guide, colour legend, the VERIFY LIVE rule, Google Sheets import note.</t>
        </is>
      </c>
      <c r="D5" s="4" t="inlineStr">
        <is>
          <t>Read the legend below before touching anything. Every tab names the toolkit template it comes from.</t>
        </is>
      </c>
      <c r="E5" s="4" t="inlineStr">
        <is>
          <t>CEO · on every version bump</t>
        </is>
      </c>
    </row>
    <row r="6" ht="58" customHeight="1">
      <c r="A6" s="4" t="n">
        <v>2</v>
      </c>
      <c r="B6" s="4" t="inlineStr">
        <is>
          <t>Target List</t>
        </is>
      </c>
      <c r="C6" s="4" t="inlineStr">
        <is>
          <t>The Raipur 100 — a hundred NAMED pumps with a route to an introduction. Template M03. It is the denominator for HC3 (~60% of ICP pumps within 60 km) and the source of every row in Pipeline.</t>
        </is>
      </c>
      <c r="D6" s="4" t="inlineStr">
        <is>
          <t>Score the four rubric factors 1–5 in columns J–M; Priority score (N) = J×3 + K×2 + L×2 + M×3, max 50. Priority band (O) computes A ≥38 · B 26–37 · C ≤25. No row without an owner's name; no row without a dated next action.</t>
        </is>
      </c>
      <c r="E6" s="4" t="inlineStr">
        <is>
          <t>Domain director · 30 rows in Week 1, 100 by Week 4, groomed every Monday</t>
        </is>
      </c>
    </row>
    <row r="7" ht="58" customHeight="1">
      <c r="A7" s="4" t="n">
        <v>3</v>
      </c>
      <c r="B7" s="4" t="inlineStr">
        <is>
          <t>Pipeline</t>
        </is>
      </c>
      <c r="C7" s="4" t="inlineStr">
        <is>
          <t>Every named pump's stage, next action and objection. Template M07. Nine stages, each with an exit test; the conversion block computes your own funnel rates off your own rows.</t>
        </is>
      </c>
      <c r="D7" s="4" t="inlineStr">
        <is>
          <t>Stage is a dropdown — do not add a stage. Days since last touch (G) = TODAY() − Last touch; over 14 days turns red and gets a decision on Monday. The conversion block counts rows that REACHED each stage, so it reads a snapshot correctly.</t>
        </is>
      </c>
      <c r="E7" s="4" t="inlineStr">
        <is>
          <t>Domain director · same evening as every visit; reviewed Monday 10 min</t>
        </is>
      </c>
    </row>
    <row r="8" ht="58" customHeight="1">
      <c r="A8" s="4" t="n">
        <v>4</v>
      </c>
      <c r="B8" s="4" t="inlineStr">
        <is>
          <t>Marketing Scorecard</t>
        </is>
      </c>
      <c r="C8" s="4" t="inlineStr">
        <is>
          <t>The eight weekly marketing numbers (HC8), thirteen weeks trailing. Template M13 §A. Deliberately the same shape as the COO's T05 KPI Scorecard.</t>
        </is>
      </c>
      <c r="D8" s="4" t="inlineStr">
        <is>
          <t>Fill weeks left to right with no gaps. Last (V) = last filled week; Trend (W) compares it with the week before; Status (X) computes Green/Amber/Red from Direction, Goal and Red line. Eight rows, no more.</t>
        </is>
      </c>
      <c r="E8" s="4" t="inlineStr">
        <is>
          <t>One named owner per row · Monday by 09:30</t>
        </is>
      </c>
    </row>
    <row r="9" ht="58" customHeight="1">
      <c r="A9" s="4" t="n">
        <v>5</v>
      </c>
      <c r="B9" s="4" t="inlineStr">
        <is>
          <t>CAC &amp; Payback</t>
        </is>
      </c>
      <c r="C9" s="4" t="inlineStr">
        <is>
          <t>What each channel actually cost, per paying dealer, and how many months of gross profit it takes to earn it back. Template M13 §B–D.</t>
        </is>
      </c>
      <c r="D9" s="4" t="inlineStr">
        <is>
          <t>Total channel cost = cash + founder hours × imputed ₹/hour + travel. CAC = total ÷ new paying dealers. Payback = CAC ÷ (ARPA × gross margin), plus any free months given. Blended CAC is a sanity check, never a decision.</t>
        </is>
      </c>
      <c r="E9" s="4" t="inlineStr">
        <is>
          <t>CEO · rows quarterly, review the first Monday monthly</t>
        </is>
      </c>
    </row>
    <row r="10" ht="58" customHeight="1">
      <c r="A10" s="4" t="n">
        <v>6</v>
      </c>
      <c r="B10" s="4" t="inlineStr">
        <is>
          <t>Campaign Budget</t>
        </is>
      </c>
      <c r="C10" s="4" t="inlineStr">
        <is>
          <t>One campaign on one page: brief, budget planned vs actual, the weekly log, the post-mortem and the multi-district block. Template M12. Filled here with the Raipur 100 example.</t>
        </is>
      </c>
      <c r="D10" s="4" t="inlineStr">
        <is>
          <t>Variance ₹ = actual − planned (positive is overspend, and turns red). The weekly log totals itself. Post-mortem CAC = spend ÷ activated. The T+30 district gate computes Go ≥5 · Watch 3–4 · Stop &lt;3.</t>
        </is>
      </c>
      <c r="E10" s="4" t="inlineStr">
        <is>
          <t>Third director · one brief per campaign; log Monday 09:30; post-mortem within 5 days</t>
        </is>
      </c>
    </row>
    <row r="11" ht="58" customHeight="1">
      <c r="A11" s="4" t="n">
        <v>7</v>
      </c>
      <c r="B11" s="4" t="inlineStr">
        <is>
          <t>Content Calendar</t>
        </is>
      </c>
      <c r="C11" s="4" t="inlineStr">
        <is>
          <t>One piece a week — what, who shoots it, who edits it, where it went, and whether it earned a reply. Template M11 §D.</t>
        </is>
      </c>
      <c r="D11" s="4" t="inlineStr">
        <is>
          <t>Reply rate = replies within 48h ÷ recipients; it is scorecard row 7. The 4-week rate at the bottom is Σ replies ÷ Σ recipients, not an average of percentages. Zero replies twice = the row is deleted, not debated.</t>
        </is>
      </c>
      <c r="E11" s="4" t="inlineStr">
        <is>
          <t>CEO (site) · domain director (WhatsApp, shoots) · third director (edits) · row filled Friday, broadcast Tuesday</t>
        </is>
      </c>
    </row>
    <row r="12" ht="58" customHeight="1">
      <c r="A12" s="4" t="n">
        <v>8</v>
      </c>
      <c r="B12" s="4" t="inlineStr">
        <is>
          <t>Referral Tracker</t>
        </is>
      </c>
      <c r="C12" s="4" t="inlineStr">
        <is>
          <t>Every Dealer Dost ask, including the ones that failed, and what is owed. Template M09 §C.</t>
        </is>
      </c>
      <c r="D12" s="4" t="inlineStr">
        <is>
          <t>Reward due (₹) computes from Stage: ₹0 until Live, ₹2,000 at Live, ₹5,000 once they are Paying in month 3 — all VERIFY LIVE against the signed tier sheet. Totals block flags the ₹20,000/year §194R TDS line.</t>
        </is>
      </c>
      <c r="E12" s="4" t="inlineStr">
        <is>
          <t>Domain director · logged the same day; reviewed Friday, 30 min</t>
        </is>
      </c>
    </row>
    <row r="13" ht="58" customHeight="1">
      <c r="A13" s="4" t="n">
        <v>9</v>
      </c>
      <c r="B13" s="4" t="inlineStr">
        <is>
          <t>Channel Experiments</t>
        </is>
      </c>
      <c r="C13" s="4" t="inlineStr">
        <is>
          <t>One channel, two weeks, one number, a verdict. Lesson 05 §6, reviewed monthly per lesson 11 §7.</t>
        </is>
      </c>
      <c r="D13" s="4" t="inlineStr">
        <is>
          <t>Total cost = cash + hours × the imputed rate on CAC &amp; Payback + travel. CAC = total cost ÷ paying dealers. Kill line is written BEFORE the start date; the verdict cell stays empty until the end date.</t>
        </is>
      </c>
      <c r="E13" s="4" t="inlineStr">
        <is>
          <t>Third director · one row per experiment; verdict on the end date</t>
        </is>
      </c>
    </row>
    <row r="15">
      <c r="A15" s="5" t="inlineStr">
        <is>
          <t>Colour legend</t>
        </is>
      </c>
    </row>
    <row r="16" ht="26" customHeight="1">
      <c r="A16" s="6" t="n"/>
      <c r="B16" s="7" t="inlineStr">
        <is>
          <t>Illustrative example — grey italic on pale yellow. Every one of these rows is fictional: invented pumps, invented owners, invented numbers. Overwrite them; they are there to show the shape.</t>
        </is>
      </c>
    </row>
    <row r="17" ht="26" customHeight="1">
      <c r="A17" s="8" t="n"/>
      <c r="B17" s="7" t="inlineStr">
        <is>
          <t>Computed cell — a live formula. Do not type over it.</t>
        </is>
      </c>
    </row>
    <row r="18" ht="26" customHeight="1">
      <c r="A18" s="9" t="n"/>
      <c r="B18" s="7" t="inlineStr">
        <is>
          <t>Input cell — this is where you type.</t>
        </is>
      </c>
    </row>
    <row r="19" ht="26" customHeight="1">
      <c r="A19" s="10" t="n"/>
      <c r="B19" s="7" t="inlineStr">
        <is>
          <t>Section band — a heading inside the sheet.</t>
        </is>
      </c>
    </row>
    <row r="21">
      <c r="A21" s="11" t="inlineStr">
        <is>
          <t>VERIFY LIVE</t>
        </is>
      </c>
    </row>
    <row r="22" ht="74" customHeight="1">
      <c r="A22" s="12" t="inlineStr">
        <is>
          <t>Every rupee figure in this workbook is illustrative or was true on 2026-08-27. The plan tiers (₹599 / ₹1,799 / ₹4,999 + Enterprise, ex-GST, per GSTIN, billing web-only, 14-day no-card trial) are UNDER OWNER SIGN-OFF — never quote them as final, and never quote the older ₹999–2,499 hybrid numbers. The ₹400/hour imputed founder rate, the ₹2,000 / ₹3,000 Dealer Dost bounties, the ₹30–50k monthly envelope, the WhatsApp per-message rates and every CAC, goal and red line on these tabs are VERIFY LIVE: confirm with the CEO (pricing), the CA (TDS §194R, GST on WhatsApp fees) or the BSP (message rates) before a decision turns on them.</t>
        </is>
      </c>
    </row>
    <row r="24" ht="60" customHeight="1">
      <c r="A24" s="12" t="inlineStr">
        <is>
          <t>Where a tab differs from its template: Target List splits M03's 'Location · km' and 'Next action + date' into separate columns and adds the four rubric factor columns the score is computed from; Pipeline splits M07's 'Next action + date' and 'Referral asked?' the same way and adds a computed 'Days since last touch'; Content Calendar splits M11's 'Replies / Views @48h' into recipients, replies, computed reply rate and views. Nothing else was added, removed or reordered.</t>
        </is>
      </c>
    </row>
  </sheetData>
  <mergeCells count="6">
    <mergeCell ref="B17:E17"/>
    <mergeCell ref="B18:E18"/>
    <mergeCell ref="A24:E24"/>
    <mergeCell ref="B16:E16"/>
    <mergeCell ref="B19:E19"/>
    <mergeCell ref="A22:E22"/>
  </mergeCells>
  <pageMargins left="0.75" right="0.75" top="1" bottom="1" header="0.5" footer="0.5"/>
</worksheet>
</file>

<file path=xl/worksheets/sheet2.xml><?xml version="1.0" encoding="utf-8"?>
<worksheet xmlns="http://schemas.openxmlformats.org/spreadsheetml/2006/main">
  <sheetPr>
    <tabColor rgb="00475569"/>
    <outlinePr summaryBelow="1" summaryRight="1"/>
    <pageSetUpPr/>
  </sheetPr>
  <dimension ref="A1:S6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20" customWidth="1" min="3" max="3"/>
    <col width="9" customWidth="1" min="4" max="4"/>
    <col width="18" customWidth="1" min="5" max="5"/>
    <col width="11" customWidth="1" min="6" max="6"/>
    <col width="11" customWidth="1" min="7" max="7"/>
    <col width="9" customWidth="1" min="8" max="8"/>
    <col width="30" customWidth="1" min="9" max="9"/>
    <col width="8" customWidth="1" min="10" max="10"/>
    <col width="8" customWidth="1" min="11" max="11"/>
    <col width="8" customWidth="1" min="12" max="12"/>
    <col width="8" customWidth="1" min="13" max="13"/>
    <col width="10" customWidth="1" min="14" max="14"/>
    <col width="8" customWidth="1" min="15" max="15"/>
    <col width="15" customWidth="1" min="16" max="16"/>
    <col width="34" customWidth="1" min="17" max="17"/>
    <col width="12" customWidth="1" min="18" max="18"/>
    <col width="14" customWidth="1" min="19" max="19"/>
  </cols>
  <sheetData>
    <row r="1" ht="23" customHeight="1">
      <c r="A1" s="1" t="inlineStr">
        <is>
          <t>Target List — the Raipur 100, named, scored and routed to an introduction</t>
        </is>
      </c>
    </row>
    <row r="2" ht="26" customHeight="1">
      <c r="A2" s="2" t="inlineStr">
        <is>
          <t>Fills M03 and exercise 8.3 in lesson 03. A row is a pump, not a company. No row without the owner's name; no row without a dated next action. Estimated fields carry 'est.' until the first visit. Disqualified rows stay, status DQ, with a re-look date. Re-score after every visit — pump #3 changes pump #11.</t>
        </is>
      </c>
    </row>
    <row r="4">
      <c r="A4" s="13" t="inlineStr">
        <is>
          <t>A. The list — 100 named pumps within 60 km of Raipur</t>
        </is>
      </c>
      <c r="B4" s="14" t="n"/>
      <c r="C4" s="14" t="n"/>
      <c r="D4" s="14" t="n"/>
      <c r="E4" s="14" t="n"/>
      <c r="F4" s="14" t="n"/>
      <c r="G4" s="14" t="n"/>
      <c r="H4" s="14" t="n"/>
      <c r="I4" s="14" t="n"/>
      <c r="J4" s="14" t="n"/>
      <c r="K4" s="14" t="n"/>
      <c r="L4" s="14" t="n"/>
      <c r="M4" s="14" t="n"/>
      <c r="N4" s="14" t="n"/>
      <c r="O4" s="14" t="n"/>
      <c r="P4" s="14" t="n"/>
      <c r="Q4" s="14" t="n"/>
      <c r="R4" s="14" t="n"/>
      <c r="S4" s="14" t="n"/>
    </row>
    <row r="5" ht="30" customHeight="1">
      <c r="A5" s="3" t="inlineStr">
        <is>
          <t>Pump name</t>
        </is>
      </c>
      <c r="B5" s="3" t="inlineStr">
        <is>
          <t>OMC</t>
        </is>
      </c>
      <c r="C5" s="3" t="inlineStr">
        <is>
          <t>Location</t>
        </is>
      </c>
      <c r="D5" s="3" t="inlineStr">
        <is>
          <t>km from Raipur</t>
        </is>
      </c>
      <c r="E5" s="3" t="inlineStr">
        <is>
          <t>Owner name</t>
        </is>
      </c>
      <c r="F5" s="3" t="inlineStr">
        <is>
          <t>Second-gen?</t>
        </is>
      </c>
      <c r="G5" s="3" t="inlineStr">
        <is>
          <t>Est. B2B credit customers</t>
        </is>
      </c>
      <c r="H5" s="3" t="inlineStr">
        <is>
          <t>Credit volume band</t>
        </is>
      </c>
      <c r="I5" s="3" t="inlineStr">
        <is>
          <t>Intro path (who introduces us, by name)</t>
        </is>
      </c>
      <c r="J5" s="3" t="inlineStr">
        <is>
          <t>Credit volume 1-5 (×3)</t>
        </is>
      </c>
      <c r="K5" s="3" t="inlineStr">
        <is>
          <t>Second-gen 1-5 (×2)</t>
        </is>
      </c>
      <c r="L5" s="3" t="inlineStr">
        <is>
          <t>Distance 1-5 (×2)</t>
        </is>
      </c>
      <c r="M5" s="3" t="inlineStr">
        <is>
          <t>Intro strength 1-5 (×3)</t>
        </is>
      </c>
      <c r="N5" s="3" t="inlineStr">
        <is>
          <t>Priority score /50</t>
        </is>
      </c>
      <c r="O5" s="3" t="inlineStr">
        <is>
          <t>Priority band</t>
        </is>
      </c>
      <c r="P5" s="3" t="inlineStr">
        <is>
          <t>Status</t>
        </is>
      </c>
      <c r="Q5" s="3" t="inlineStr">
        <is>
          <t>Next action</t>
        </is>
      </c>
      <c r="R5" s="3" t="inlineStr">
        <is>
          <t>Next date</t>
        </is>
      </c>
      <c r="S5" s="3" t="inlineStr">
        <is>
          <t>Owner (ours)</t>
        </is>
      </c>
    </row>
    <row r="6">
      <c r="A6" s="15" t="inlineStr">
        <is>
          <t>Maa Danteshwari Fuels (fictional)</t>
        </is>
      </c>
      <c r="B6" s="15" t="inlineStr">
        <is>
          <t>IOCL</t>
        </is>
      </c>
      <c r="C6" s="15" t="inlineStr">
        <is>
          <t>Tatibandh</t>
        </is>
      </c>
      <c r="D6" s="16" t="n">
        <v>8</v>
      </c>
      <c r="E6" s="15" t="inlineStr">
        <is>
          <t>R. Verma</t>
        </is>
      </c>
      <c r="F6" s="15" t="inlineStr">
        <is>
          <t>Y</t>
        </is>
      </c>
      <c r="G6" s="15" t="inlineStr">
        <is>
          <t>24 est.</t>
        </is>
      </c>
      <c r="H6" s="15" t="inlineStr">
        <is>
          <t>A</t>
        </is>
      </c>
      <c r="I6" s="15" t="inlineStr">
        <is>
          <t>Domain director — school friend</t>
        </is>
      </c>
      <c r="J6" s="15" t="n">
        <v>5</v>
      </c>
      <c r="K6" s="15" t="n">
        <v>5</v>
      </c>
      <c r="L6" s="15" t="n">
        <v>5</v>
      </c>
      <c r="M6" s="15" t="n">
        <v>5</v>
      </c>
      <c r="N6" s="17">
        <f>IF(COUNT(J6:M6)&lt;4,"",J6*3+K6*2+L6*2+M6*3)</f>
        <v/>
      </c>
      <c r="O6" s="18">
        <f>IF(N6="","",IF(N6&gt;=38,"A",IF(N6&gt;=26,"B","C")))</f>
        <v/>
      </c>
      <c r="P6" s="15" t="inlineStr">
        <is>
          <t>Intro requested</t>
        </is>
      </c>
      <c r="Q6" s="15" t="inlineStr">
        <is>
          <t>Call Verma-ji, ask for a Tuesday slot</t>
        </is>
      </c>
      <c r="R6" s="19" t="n">
        <v>46267</v>
      </c>
      <c r="S6" s="15" t="inlineStr">
        <is>
          <t>Domain dir.</t>
        </is>
      </c>
    </row>
    <row r="7">
      <c r="A7" s="15" t="inlineStr">
        <is>
          <t>Highway Auto Centre (fictional)</t>
        </is>
      </c>
      <c r="B7" s="15" t="inlineStr">
        <is>
          <t>BPCL</t>
        </is>
      </c>
      <c r="C7" s="15" t="inlineStr">
        <is>
          <t>NH-53, Kharora</t>
        </is>
      </c>
      <c r="D7" s="16" t="n">
        <v>34</v>
      </c>
      <c r="E7" s="15" t="inlineStr">
        <is>
          <t>S. Sahu</t>
        </is>
      </c>
      <c r="F7" s="15" t="inlineStr">
        <is>
          <t>Y</t>
        </is>
      </c>
      <c r="G7" s="15" t="inlineStr">
        <is>
          <t>30 est.</t>
        </is>
      </c>
      <c r="H7" s="15" t="inlineStr">
        <is>
          <t>A</t>
        </is>
      </c>
      <c r="I7" s="15" t="inlineStr">
        <is>
          <t>Transporter who fuels there</t>
        </is>
      </c>
      <c r="J7" s="15" t="n">
        <v>5</v>
      </c>
      <c r="K7" s="15" t="n">
        <v>5</v>
      </c>
      <c r="L7" s="15" t="n">
        <v>3</v>
      </c>
      <c r="M7" s="15" t="n">
        <v>3</v>
      </c>
      <c r="N7" s="17">
        <f>IF(COUNT(J7:M7)&lt;4,"",J7*3+K7*2+L7*2+M7*3)</f>
        <v/>
      </c>
      <c r="O7" s="18">
        <f>IF(N7="","",IF(N7&gt;=38,"A",IF(N7&gt;=26,"B","C")))</f>
        <v/>
      </c>
      <c r="P7" s="15" t="inlineStr">
        <is>
          <t>New</t>
        </is>
      </c>
      <c r="Q7" s="15" t="inlineStr">
        <is>
          <t>Visit on the Kharora cluster run</t>
        </is>
      </c>
      <c r="R7" s="19" t="n">
        <v>46270</v>
      </c>
      <c r="S7" s="15" t="inlineStr">
        <is>
          <t>Domain dir.</t>
        </is>
      </c>
    </row>
    <row r="8">
      <c r="A8" s="15" t="inlineStr">
        <is>
          <t>Shree Balaji Filling (fictional)</t>
        </is>
      </c>
      <c r="B8" s="15" t="inlineStr">
        <is>
          <t>HPCL</t>
        </is>
      </c>
      <c r="C8" s="15" t="inlineStr">
        <is>
          <t>Bhanpuri</t>
        </is>
      </c>
      <c r="D8" s="16" t="n">
        <v>11</v>
      </c>
      <c r="E8" s="15" t="inlineStr">
        <is>
          <t>M. Agrawal</t>
        </is>
      </c>
      <c r="F8" s="15" t="inlineStr">
        <is>
          <t>N</t>
        </is>
      </c>
      <c r="G8" s="15" t="inlineStr">
        <is>
          <t>12 est.</t>
        </is>
      </c>
      <c r="H8" s="15" t="inlineStr">
        <is>
          <t>B</t>
        </is>
      </c>
      <c r="I8" s="15" t="inlineStr">
        <is>
          <t>Our CA handles his books</t>
        </is>
      </c>
      <c r="J8" s="15" t="n">
        <v>3</v>
      </c>
      <c r="K8" s="15" t="n">
        <v>1</v>
      </c>
      <c r="L8" s="15" t="n">
        <v>5</v>
      </c>
      <c r="M8" s="15" t="n">
        <v>3</v>
      </c>
      <c r="N8" s="17">
        <f>IF(COUNT(J8:M8)&lt;4,"",J8*3+K8*2+L8*2+M8*3)</f>
        <v/>
      </c>
      <c r="O8" s="18">
        <f>IF(N8="","",IF(N8&gt;=38,"A",IF(N8&gt;=26,"B","C")))</f>
        <v/>
      </c>
      <c r="P8" s="15" t="inlineStr">
        <is>
          <t>Researching</t>
        </is>
      </c>
      <c r="Q8" s="15" t="inlineStr">
        <is>
          <t>CA to introduce over WhatsApp</t>
        </is>
      </c>
      <c r="R8" s="19" t="n">
        <v>46268</v>
      </c>
      <c r="S8" s="15" t="inlineStr">
        <is>
          <t>CEO</t>
        </is>
      </c>
    </row>
    <row r="9">
      <c r="A9" s="15" t="inlineStr">
        <is>
          <t>Ring Road Fuels (fictional)</t>
        </is>
      </c>
      <c r="B9" s="15" t="inlineStr">
        <is>
          <t>IOCL</t>
        </is>
      </c>
      <c r="C9" s="15" t="inlineStr">
        <is>
          <t>Ring Road 2</t>
        </is>
      </c>
      <c r="D9" s="16" t="n">
        <v>6</v>
      </c>
      <c r="E9" s="15" t="inlineStr">
        <is>
          <t>K. Dewangan</t>
        </is>
      </c>
      <c r="F9" s="15" t="inlineStr">
        <is>
          <t>unknown</t>
        </is>
      </c>
      <c r="G9" s="15" t="inlineStr">
        <is>
          <t>4 est.</t>
        </is>
      </c>
      <c r="H9" s="15" t="inlineStr">
        <is>
          <t>C</t>
        </is>
      </c>
      <c r="I9" s="15" t="inlineStr">
        <is>
          <t>none yet</t>
        </is>
      </c>
      <c r="J9" s="15" t="n">
        <v>1</v>
      </c>
      <c r="K9" s="15" t="n">
        <v>2</v>
      </c>
      <c r="L9" s="15" t="n">
        <v>5</v>
      </c>
      <c r="M9" s="15" t="n">
        <v>1</v>
      </c>
      <c r="N9" s="17">
        <f>IF(COUNT(J9:M9)&lt;4,"",J9*3+K9*2+L9*2+M9*3)</f>
        <v/>
      </c>
      <c r="O9" s="18">
        <f>IF(N9="","",IF(N9&gt;=38,"A",IF(N9&gt;=26,"B","C")))</f>
        <v/>
      </c>
      <c r="P9" s="15" t="inlineStr">
        <is>
          <t>New</t>
        </is>
      </c>
      <c r="Q9" s="15" t="inlineStr">
        <is>
          <t>Walk-in during the Tatibandh cluster run</t>
        </is>
      </c>
      <c r="R9" s="19" t="n">
        <v>46274</v>
      </c>
      <c r="S9" s="15" t="inlineStr">
        <is>
          <t>Third dir.</t>
        </is>
      </c>
    </row>
    <row r="10">
      <c r="A10" s="15" t="inlineStr">
        <is>
          <t>City Point Petroleum (fictional)</t>
        </is>
      </c>
      <c r="B10" s="15" t="inlineStr">
        <is>
          <t>BPCL</t>
        </is>
      </c>
      <c r="C10" s="15" t="inlineStr">
        <is>
          <t>Pandri</t>
        </is>
      </c>
      <c r="D10" s="16" t="n">
        <v>4</v>
      </c>
      <c r="E10" s="15" t="inlineStr">
        <is>
          <t>(manager-run, owner in Dubai)</t>
        </is>
      </c>
      <c r="F10" s="15" t="inlineStr">
        <is>
          <t>N</t>
        </is>
      </c>
      <c r="G10" s="15" t="inlineStr">
        <is>
          <t>0</t>
        </is>
      </c>
      <c r="H10" s="15" t="inlineStr">
        <is>
          <t>C</t>
        </is>
      </c>
      <c r="I10" s="15" t="inlineStr">
        <is>
          <t>—</t>
        </is>
      </c>
      <c r="J10" s="15" t="n">
        <v>1</v>
      </c>
      <c r="K10" s="15" t="n">
        <v>1</v>
      </c>
      <c r="L10" s="15" t="n">
        <v>5</v>
      </c>
      <c r="M10" s="15" t="n">
        <v>1</v>
      </c>
      <c r="N10" s="17">
        <f>IF(COUNT(J10:M10)&lt;4,"",J10*3+K10*2+L10*2+M10*3)</f>
        <v/>
      </c>
      <c r="O10" s="18">
        <f>IF(N10="","",IF(N10&gt;=38,"A",IF(N10&gt;=26,"B","C")))</f>
        <v/>
      </c>
      <c r="P10" s="15" t="inlineStr">
        <is>
          <t>DQ</t>
        </is>
      </c>
      <c r="Q10" s="15" t="inlineStr">
        <is>
          <t>Re-look — owner may return</t>
        </is>
      </c>
      <c r="R10" s="19" t="n">
        <v>46447</v>
      </c>
      <c r="S10" s="15" t="inlineStr">
        <is>
          <t>—</t>
        </is>
      </c>
    </row>
    <row r="11">
      <c r="A11" s="20" t="inlineStr"/>
      <c r="B11" s="20" t="inlineStr"/>
      <c r="C11" s="20" t="inlineStr"/>
      <c r="D11" s="21" t="inlineStr"/>
      <c r="E11" s="20" t="inlineStr"/>
      <c r="F11" s="20" t="inlineStr"/>
      <c r="G11" s="20" t="inlineStr"/>
      <c r="H11" s="20" t="inlineStr"/>
      <c r="I11" s="20" t="inlineStr"/>
      <c r="J11" s="20" t="inlineStr"/>
      <c r="K11" s="20" t="inlineStr"/>
      <c r="L11" s="20" t="inlineStr"/>
      <c r="M11" s="20" t="inlineStr"/>
      <c r="N11" s="22">
        <f>IF(COUNT(J11:M11)&lt;4,"",J11*3+K11*2+L11*2+M11*3)</f>
        <v/>
      </c>
      <c r="O11" s="23">
        <f>IF(N11="","",IF(N11&gt;=38,"A",IF(N11&gt;=26,"B","C")))</f>
        <v/>
      </c>
      <c r="P11" s="20" t="inlineStr"/>
      <c r="Q11" s="20" t="inlineStr"/>
      <c r="R11" s="24" t="inlineStr"/>
      <c r="S11" s="20" t="inlineStr"/>
    </row>
    <row r="12">
      <c r="A12" s="20" t="inlineStr"/>
      <c r="B12" s="20" t="inlineStr"/>
      <c r="C12" s="20" t="inlineStr"/>
      <c r="D12" s="21" t="inlineStr"/>
      <c r="E12" s="20" t="inlineStr"/>
      <c r="F12" s="20" t="inlineStr"/>
      <c r="G12" s="20" t="inlineStr"/>
      <c r="H12" s="20" t="inlineStr"/>
      <c r="I12" s="20" t="inlineStr"/>
      <c r="J12" s="20" t="inlineStr"/>
      <c r="K12" s="20" t="inlineStr"/>
      <c r="L12" s="20" t="inlineStr"/>
      <c r="M12" s="20" t="inlineStr"/>
      <c r="N12" s="22">
        <f>IF(COUNT(J12:M12)&lt;4,"",J12*3+K12*2+L12*2+M12*3)</f>
        <v/>
      </c>
      <c r="O12" s="23">
        <f>IF(N12="","",IF(N12&gt;=38,"A",IF(N12&gt;=26,"B","C")))</f>
        <v/>
      </c>
      <c r="P12" s="20" t="inlineStr"/>
      <c r="Q12" s="20" t="inlineStr"/>
      <c r="R12" s="24" t="inlineStr"/>
      <c r="S12" s="20" t="inlineStr"/>
    </row>
    <row r="13">
      <c r="A13" s="20" t="inlineStr"/>
      <c r="B13" s="20" t="inlineStr"/>
      <c r="C13" s="20" t="inlineStr"/>
      <c r="D13" s="21" t="inlineStr"/>
      <c r="E13" s="20" t="inlineStr"/>
      <c r="F13" s="20" t="inlineStr"/>
      <c r="G13" s="20" t="inlineStr"/>
      <c r="H13" s="20" t="inlineStr"/>
      <c r="I13" s="20" t="inlineStr"/>
      <c r="J13" s="20" t="inlineStr"/>
      <c r="K13" s="20" t="inlineStr"/>
      <c r="L13" s="20" t="inlineStr"/>
      <c r="M13" s="20" t="inlineStr"/>
      <c r="N13" s="22">
        <f>IF(COUNT(J13:M13)&lt;4,"",J13*3+K13*2+L13*2+M13*3)</f>
        <v/>
      </c>
      <c r="O13" s="23">
        <f>IF(N13="","",IF(N13&gt;=38,"A",IF(N13&gt;=26,"B","C")))</f>
        <v/>
      </c>
      <c r="P13" s="20" t="inlineStr"/>
      <c r="Q13" s="20" t="inlineStr"/>
      <c r="R13" s="24" t="inlineStr"/>
      <c r="S13" s="20" t="inlineStr"/>
    </row>
    <row r="14">
      <c r="A14" s="20" t="inlineStr"/>
      <c r="B14" s="20" t="inlineStr"/>
      <c r="C14" s="20" t="inlineStr"/>
      <c r="D14" s="21" t="inlineStr"/>
      <c r="E14" s="20" t="inlineStr"/>
      <c r="F14" s="20" t="inlineStr"/>
      <c r="G14" s="20" t="inlineStr"/>
      <c r="H14" s="20" t="inlineStr"/>
      <c r="I14" s="20" t="inlineStr"/>
      <c r="J14" s="20" t="inlineStr"/>
      <c r="K14" s="20" t="inlineStr"/>
      <c r="L14" s="20" t="inlineStr"/>
      <c r="M14" s="20" t="inlineStr"/>
      <c r="N14" s="22">
        <f>IF(COUNT(J14:M14)&lt;4,"",J14*3+K14*2+L14*2+M14*3)</f>
        <v/>
      </c>
      <c r="O14" s="23">
        <f>IF(N14="","",IF(N14&gt;=38,"A",IF(N14&gt;=26,"B","C")))</f>
        <v/>
      </c>
      <c r="P14" s="20" t="inlineStr"/>
      <c r="Q14" s="20" t="inlineStr"/>
      <c r="R14" s="24" t="inlineStr"/>
      <c r="S14" s="20" t="inlineStr"/>
    </row>
    <row r="15">
      <c r="A15" s="20" t="inlineStr"/>
      <c r="B15" s="20" t="inlineStr"/>
      <c r="C15" s="20" t="inlineStr"/>
      <c r="D15" s="21" t="inlineStr"/>
      <c r="E15" s="20" t="inlineStr"/>
      <c r="F15" s="20" t="inlineStr"/>
      <c r="G15" s="20" t="inlineStr"/>
      <c r="H15" s="20" t="inlineStr"/>
      <c r="I15" s="20" t="inlineStr"/>
      <c r="J15" s="20" t="inlineStr"/>
      <c r="K15" s="20" t="inlineStr"/>
      <c r="L15" s="20" t="inlineStr"/>
      <c r="M15" s="20" t="inlineStr"/>
      <c r="N15" s="22">
        <f>IF(COUNT(J15:M15)&lt;4,"",J15*3+K15*2+L15*2+M15*3)</f>
        <v/>
      </c>
      <c r="O15" s="23">
        <f>IF(N15="","",IF(N15&gt;=38,"A",IF(N15&gt;=26,"B","C")))</f>
        <v/>
      </c>
      <c r="P15" s="20" t="inlineStr"/>
      <c r="Q15" s="20" t="inlineStr"/>
      <c r="R15" s="24" t="inlineStr"/>
      <c r="S15" s="20" t="inlineStr"/>
    </row>
    <row r="16">
      <c r="A16" s="20" t="inlineStr"/>
      <c r="B16" s="20" t="inlineStr"/>
      <c r="C16" s="20" t="inlineStr"/>
      <c r="D16" s="21" t="inlineStr"/>
      <c r="E16" s="20" t="inlineStr"/>
      <c r="F16" s="20" t="inlineStr"/>
      <c r="G16" s="20" t="inlineStr"/>
      <c r="H16" s="20" t="inlineStr"/>
      <c r="I16" s="20" t="inlineStr"/>
      <c r="J16" s="20" t="inlineStr"/>
      <c r="K16" s="20" t="inlineStr"/>
      <c r="L16" s="20" t="inlineStr"/>
      <c r="M16" s="20" t="inlineStr"/>
      <c r="N16" s="22">
        <f>IF(COUNT(J16:M16)&lt;4,"",J16*3+K16*2+L16*2+M16*3)</f>
        <v/>
      </c>
      <c r="O16" s="23">
        <f>IF(N16="","",IF(N16&gt;=38,"A",IF(N16&gt;=26,"B","C")))</f>
        <v/>
      </c>
      <c r="P16" s="20" t="inlineStr"/>
      <c r="Q16" s="20" t="inlineStr"/>
      <c r="R16" s="24" t="inlineStr"/>
      <c r="S16" s="20" t="inlineStr"/>
    </row>
    <row r="17">
      <c r="A17" s="20" t="inlineStr"/>
      <c r="B17" s="20" t="inlineStr"/>
      <c r="C17" s="20" t="inlineStr"/>
      <c r="D17" s="21" t="inlineStr"/>
      <c r="E17" s="20" t="inlineStr"/>
      <c r="F17" s="20" t="inlineStr"/>
      <c r="G17" s="20" t="inlineStr"/>
      <c r="H17" s="20" t="inlineStr"/>
      <c r="I17" s="20" t="inlineStr"/>
      <c r="J17" s="20" t="inlineStr"/>
      <c r="K17" s="20" t="inlineStr"/>
      <c r="L17" s="20" t="inlineStr"/>
      <c r="M17" s="20" t="inlineStr"/>
      <c r="N17" s="22">
        <f>IF(COUNT(J17:M17)&lt;4,"",J17*3+K17*2+L17*2+M17*3)</f>
        <v/>
      </c>
      <c r="O17" s="23">
        <f>IF(N17="","",IF(N17&gt;=38,"A",IF(N17&gt;=26,"B","C")))</f>
        <v/>
      </c>
      <c r="P17" s="20" t="inlineStr"/>
      <c r="Q17" s="20" t="inlineStr"/>
      <c r="R17" s="24" t="inlineStr"/>
      <c r="S17" s="20" t="inlineStr"/>
    </row>
    <row r="18">
      <c r="A18" s="20" t="inlineStr"/>
      <c r="B18" s="20" t="inlineStr"/>
      <c r="C18" s="20" t="inlineStr"/>
      <c r="D18" s="21" t="inlineStr"/>
      <c r="E18" s="20" t="inlineStr"/>
      <c r="F18" s="20" t="inlineStr"/>
      <c r="G18" s="20" t="inlineStr"/>
      <c r="H18" s="20" t="inlineStr"/>
      <c r="I18" s="20" t="inlineStr"/>
      <c r="J18" s="20" t="inlineStr"/>
      <c r="K18" s="20" t="inlineStr"/>
      <c r="L18" s="20" t="inlineStr"/>
      <c r="M18" s="20" t="inlineStr"/>
      <c r="N18" s="22">
        <f>IF(COUNT(J18:M18)&lt;4,"",J18*3+K18*2+L18*2+M18*3)</f>
        <v/>
      </c>
      <c r="O18" s="23">
        <f>IF(N18="","",IF(N18&gt;=38,"A",IF(N18&gt;=26,"B","C")))</f>
        <v/>
      </c>
      <c r="P18" s="20" t="inlineStr"/>
      <c r="Q18" s="20" t="inlineStr"/>
      <c r="R18" s="24" t="inlineStr"/>
      <c r="S18" s="20" t="inlineStr"/>
    </row>
    <row r="19">
      <c r="A19" s="20" t="inlineStr"/>
      <c r="B19" s="20" t="inlineStr"/>
      <c r="C19" s="20" t="inlineStr"/>
      <c r="D19" s="21" t="inlineStr"/>
      <c r="E19" s="20" t="inlineStr"/>
      <c r="F19" s="20" t="inlineStr"/>
      <c r="G19" s="20" t="inlineStr"/>
      <c r="H19" s="20" t="inlineStr"/>
      <c r="I19" s="20" t="inlineStr"/>
      <c r="J19" s="20" t="inlineStr"/>
      <c r="K19" s="20" t="inlineStr"/>
      <c r="L19" s="20" t="inlineStr"/>
      <c r="M19" s="20" t="inlineStr"/>
      <c r="N19" s="22">
        <f>IF(COUNT(J19:M19)&lt;4,"",J19*3+K19*2+L19*2+M19*3)</f>
        <v/>
      </c>
      <c r="O19" s="23">
        <f>IF(N19="","",IF(N19&gt;=38,"A",IF(N19&gt;=26,"B","C")))</f>
        <v/>
      </c>
      <c r="P19" s="20" t="inlineStr"/>
      <c r="Q19" s="20" t="inlineStr"/>
      <c r="R19" s="24" t="inlineStr"/>
      <c r="S19" s="20" t="inlineStr"/>
    </row>
    <row r="20">
      <c r="A20" s="20" t="inlineStr"/>
      <c r="B20" s="20" t="inlineStr"/>
      <c r="C20" s="20" t="inlineStr"/>
      <c r="D20" s="21" t="inlineStr"/>
      <c r="E20" s="20" t="inlineStr"/>
      <c r="F20" s="20" t="inlineStr"/>
      <c r="G20" s="20" t="inlineStr"/>
      <c r="H20" s="20" t="inlineStr"/>
      <c r="I20" s="20" t="inlineStr"/>
      <c r="J20" s="20" t="inlineStr"/>
      <c r="K20" s="20" t="inlineStr"/>
      <c r="L20" s="20" t="inlineStr"/>
      <c r="M20" s="20" t="inlineStr"/>
      <c r="N20" s="22">
        <f>IF(COUNT(J20:M20)&lt;4,"",J20*3+K20*2+L20*2+M20*3)</f>
        <v/>
      </c>
      <c r="O20" s="23">
        <f>IF(N20="","",IF(N20&gt;=38,"A",IF(N20&gt;=26,"B","C")))</f>
        <v/>
      </c>
      <c r="P20" s="20" t="inlineStr"/>
      <c r="Q20" s="20" t="inlineStr"/>
      <c r="R20" s="24" t="inlineStr"/>
      <c r="S20" s="20" t="inlineStr"/>
    </row>
    <row r="21">
      <c r="A21" s="20" t="inlineStr"/>
      <c r="B21" s="20" t="inlineStr"/>
      <c r="C21" s="20" t="inlineStr"/>
      <c r="D21" s="21" t="inlineStr"/>
      <c r="E21" s="20" t="inlineStr"/>
      <c r="F21" s="20" t="inlineStr"/>
      <c r="G21" s="20" t="inlineStr"/>
      <c r="H21" s="20" t="inlineStr"/>
      <c r="I21" s="20" t="inlineStr"/>
      <c r="J21" s="20" t="inlineStr"/>
      <c r="K21" s="20" t="inlineStr"/>
      <c r="L21" s="20" t="inlineStr"/>
      <c r="M21" s="20" t="inlineStr"/>
      <c r="N21" s="22">
        <f>IF(COUNT(J21:M21)&lt;4,"",J21*3+K21*2+L21*2+M21*3)</f>
        <v/>
      </c>
      <c r="O21" s="23">
        <f>IF(N21="","",IF(N21&gt;=38,"A",IF(N21&gt;=26,"B","C")))</f>
        <v/>
      </c>
      <c r="P21" s="20" t="inlineStr"/>
      <c r="Q21" s="20" t="inlineStr"/>
      <c r="R21" s="24" t="inlineStr"/>
      <c r="S21" s="20" t="inlineStr"/>
    </row>
    <row r="22">
      <c r="A22" s="20" t="inlineStr"/>
      <c r="B22" s="20" t="inlineStr"/>
      <c r="C22" s="20" t="inlineStr"/>
      <c r="D22" s="21" t="inlineStr"/>
      <c r="E22" s="20" t="inlineStr"/>
      <c r="F22" s="20" t="inlineStr"/>
      <c r="G22" s="20" t="inlineStr"/>
      <c r="H22" s="20" t="inlineStr"/>
      <c r="I22" s="20" t="inlineStr"/>
      <c r="J22" s="20" t="inlineStr"/>
      <c r="K22" s="20" t="inlineStr"/>
      <c r="L22" s="20" t="inlineStr"/>
      <c r="M22" s="20" t="inlineStr"/>
      <c r="N22" s="22">
        <f>IF(COUNT(J22:M22)&lt;4,"",J22*3+K22*2+L22*2+M22*3)</f>
        <v/>
      </c>
      <c r="O22" s="23">
        <f>IF(N22="","",IF(N22&gt;=38,"A",IF(N22&gt;=26,"B","C")))</f>
        <v/>
      </c>
      <c r="P22" s="20" t="inlineStr"/>
      <c r="Q22" s="20" t="inlineStr"/>
      <c r="R22" s="24" t="inlineStr"/>
      <c r="S22" s="20" t="inlineStr"/>
    </row>
    <row r="23">
      <c r="A23" s="20" t="inlineStr"/>
      <c r="B23" s="20" t="inlineStr"/>
      <c r="C23" s="20" t="inlineStr"/>
      <c r="D23" s="21" t="inlineStr"/>
      <c r="E23" s="20" t="inlineStr"/>
      <c r="F23" s="20" t="inlineStr"/>
      <c r="G23" s="20" t="inlineStr"/>
      <c r="H23" s="20" t="inlineStr"/>
      <c r="I23" s="20" t="inlineStr"/>
      <c r="J23" s="20" t="inlineStr"/>
      <c r="K23" s="20" t="inlineStr"/>
      <c r="L23" s="20" t="inlineStr"/>
      <c r="M23" s="20" t="inlineStr"/>
      <c r="N23" s="22">
        <f>IF(COUNT(J23:M23)&lt;4,"",J23*3+K23*2+L23*2+M23*3)</f>
        <v/>
      </c>
      <c r="O23" s="23">
        <f>IF(N23="","",IF(N23&gt;=38,"A",IF(N23&gt;=26,"B","C")))</f>
        <v/>
      </c>
      <c r="P23" s="20" t="inlineStr"/>
      <c r="Q23" s="20" t="inlineStr"/>
      <c r="R23" s="24" t="inlineStr"/>
      <c r="S23" s="20" t="inlineStr"/>
    </row>
    <row r="24">
      <c r="A24" s="20" t="inlineStr"/>
      <c r="B24" s="20" t="inlineStr"/>
      <c r="C24" s="20" t="inlineStr"/>
      <c r="D24" s="21" t="inlineStr"/>
      <c r="E24" s="20" t="inlineStr"/>
      <c r="F24" s="20" t="inlineStr"/>
      <c r="G24" s="20" t="inlineStr"/>
      <c r="H24" s="20" t="inlineStr"/>
      <c r="I24" s="20" t="inlineStr"/>
      <c r="J24" s="20" t="inlineStr"/>
      <c r="K24" s="20" t="inlineStr"/>
      <c r="L24" s="20" t="inlineStr"/>
      <c r="M24" s="20" t="inlineStr"/>
      <c r="N24" s="22">
        <f>IF(COUNT(J24:M24)&lt;4,"",J24*3+K24*2+L24*2+M24*3)</f>
        <v/>
      </c>
      <c r="O24" s="23">
        <f>IF(N24="","",IF(N24&gt;=38,"A",IF(N24&gt;=26,"B","C")))</f>
        <v/>
      </c>
      <c r="P24" s="20" t="inlineStr"/>
      <c r="Q24" s="20" t="inlineStr"/>
      <c r="R24" s="24" t="inlineStr"/>
      <c r="S24" s="20" t="inlineStr"/>
    </row>
    <row r="25">
      <c r="A25" s="20" t="inlineStr"/>
      <c r="B25" s="20" t="inlineStr"/>
      <c r="C25" s="20" t="inlineStr"/>
      <c r="D25" s="21" t="inlineStr"/>
      <c r="E25" s="20" t="inlineStr"/>
      <c r="F25" s="20" t="inlineStr"/>
      <c r="G25" s="20" t="inlineStr"/>
      <c r="H25" s="20" t="inlineStr"/>
      <c r="I25" s="20" t="inlineStr"/>
      <c r="J25" s="20" t="inlineStr"/>
      <c r="K25" s="20" t="inlineStr"/>
      <c r="L25" s="20" t="inlineStr"/>
      <c r="M25" s="20" t="inlineStr"/>
      <c r="N25" s="22">
        <f>IF(COUNT(J25:M25)&lt;4,"",J25*3+K25*2+L25*2+M25*3)</f>
        <v/>
      </c>
      <c r="O25" s="23">
        <f>IF(N25="","",IF(N25&gt;=38,"A",IF(N25&gt;=26,"B","C")))</f>
        <v/>
      </c>
      <c r="P25" s="20" t="inlineStr"/>
      <c r="Q25" s="20" t="inlineStr"/>
      <c r="R25" s="24" t="inlineStr"/>
      <c r="S25" s="20" t="inlineStr"/>
    </row>
    <row r="26">
      <c r="A26" s="20" t="inlineStr"/>
      <c r="B26" s="20" t="inlineStr"/>
      <c r="C26" s="20" t="inlineStr"/>
      <c r="D26" s="21" t="inlineStr"/>
      <c r="E26" s="20" t="inlineStr"/>
      <c r="F26" s="20" t="inlineStr"/>
      <c r="G26" s="20" t="inlineStr"/>
      <c r="H26" s="20" t="inlineStr"/>
      <c r="I26" s="20" t="inlineStr"/>
      <c r="J26" s="20" t="inlineStr"/>
      <c r="K26" s="20" t="inlineStr"/>
      <c r="L26" s="20" t="inlineStr"/>
      <c r="M26" s="20" t="inlineStr"/>
      <c r="N26" s="22">
        <f>IF(COUNT(J26:M26)&lt;4,"",J26*3+K26*2+L26*2+M26*3)</f>
        <v/>
      </c>
      <c r="O26" s="23">
        <f>IF(N26="","",IF(N26&gt;=38,"A",IF(N26&gt;=26,"B","C")))</f>
        <v/>
      </c>
      <c r="P26" s="20" t="inlineStr"/>
      <c r="Q26" s="20" t="inlineStr"/>
      <c r="R26" s="24" t="inlineStr"/>
      <c r="S26" s="20" t="inlineStr"/>
    </row>
    <row r="27">
      <c r="A27" s="20" t="inlineStr"/>
      <c r="B27" s="20" t="inlineStr"/>
      <c r="C27" s="20" t="inlineStr"/>
      <c r="D27" s="21" t="inlineStr"/>
      <c r="E27" s="20" t="inlineStr"/>
      <c r="F27" s="20" t="inlineStr"/>
      <c r="G27" s="20" t="inlineStr"/>
      <c r="H27" s="20" t="inlineStr"/>
      <c r="I27" s="20" t="inlineStr"/>
      <c r="J27" s="20" t="inlineStr"/>
      <c r="K27" s="20" t="inlineStr"/>
      <c r="L27" s="20" t="inlineStr"/>
      <c r="M27" s="20" t="inlineStr"/>
      <c r="N27" s="22">
        <f>IF(COUNT(J27:M27)&lt;4,"",J27*3+K27*2+L27*2+M27*3)</f>
        <v/>
      </c>
      <c r="O27" s="23">
        <f>IF(N27="","",IF(N27&gt;=38,"A",IF(N27&gt;=26,"B","C")))</f>
        <v/>
      </c>
      <c r="P27" s="20" t="inlineStr"/>
      <c r="Q27" s="20" t="inlineStr"/>
      <c r="R27" s="24" t="inlineStr"/>
      <c r="S27" s="20" t="inlineStr"/>
    </row>
    <row r="28">
      <c r="A28" s="20" t="inlineStr"/>
      <c r="B28" s="20" t="inlineStr"/>
      <c r="C28" s="20" t="inlineStr"/>
      <c r="D28" s="21" t="inlineStr"/>
      <c r="E28" s="20" t="inlineStr"/>
      <c r="F28" s="20" t="inlineStr"/>
      <c r="G28" s="20" t="inlineStr"/>
      <c r="H28" s="20" t="inlineStr"/>
      <c r="I28" s="20" t="inlineStr"/>
      <c r="J28" s="20" t="inlineStr"/>
      <c r="K28" s="20" t="inlineStr"/>
      <c r="L28" s="20" t="inlineStr"/>
      <c r="M28" s="20" t="inlineStr"/>
      <c r="N28" s="22">
        <f>IF(COUNT(J28:M28)&lt;4,"",J28*3+K28*2+L28*2+M28*3)</f>
        <v/>
      </c>
      <c r="O28" s="23">
        <f>IF(N28="","",IF(N28&gt;=38,"A",IF(N28&gt;=26,"B","C")))</f>
        <v/>
      </c>
      <c r="P28" s="20" t="inlineStr"/>
      <c r="Q28" s="20" t="inlineStr"/>
      <c r="R28" s="24" t="inlineStr"/>
      <c r="S28" s="20" t="inlineStr"/>
    </row>
    <row r="29">
      <c r="A29" s="20" t="inlineStr"/>
      <c r="B29" s="20" t="inlineStr"/>
      <c r="C29" s="20" t="inlineStr"/>
      <c r="D29" s="21" t="inlineStr"/>
      <c r="E29" s="20" t="inlineStr"/>
      <c r="F29" s="20" t="inlineStr"/>
      <c r="G29" s="20" t="inlineStr"/>
      <c r="H29" s="20" t="inlineStr"/>
      <c r="I29" s="20" t="inlineStr"/>
      <c r="J29" s="20" t="inlineStr"/>
      <c r="K29" s="20" t="inlineStr"/>
      <c r="L29" s="20" t="inlineStr"/>
      <c r="M29" s="20" t="inlineStr"/>
      <c r="N29" s="22">
        <f>IF(COUNT(J29:M29)&lt;4,"",J29*3+K29*2+L29*2+M29*3)</f>
        <v/>
      </c>
      <c r="O29" s="23">
        <f>IF(N29="","",IF(N29&gt;=38,"A",IF(N29&gt;=26,"B","C")))</f>
        <v/>
      </c>
      <c r="P29" s="20" t="inlineStr"/>
      <c r="Q29" s="20" t="inlineStr"/>
      <c r="R29" s="24" t="inlineStr"/>
      <c r="S29" s="20" t="inlineStr"/>
    </row>
    <row r="30">
      <c r="A30" s="20" t="inlineStr"/>
      <c r="B30" s="20" t="inlineStr"/>
      <c r="C30" s="20" t="inlineStr"/>
      <c r="D30" s="21" t="inlineStr"/>
      <c r="E30" s="20" t="inlineStr"/>
      <c r="F30" s="20" t="inlineStr"/>
      <c r="G30" s="20" t="inlineStr"/>
      <c r="H30" s="20" t="inlineStr"/>
      <c r="I30" s="20" t="inlineStr"/>
      <c r="J30" s="20" t="inlineStr"/>
      <c r="K30" s="20" t="inlineStr"/>
      <c r="L30" s="20" t="inlineStr"/>
      <c r="M30" s="20" t="inlineStr"/>
      <c r="N30" s="22">
        <f>IF(COUNT(J30:M30)&lt;4,"",J30*3+K30*2+L30*2+M30*3)</f>
        <v/>
      </c>
      <c r="O30" s="23">
        <f>IF(N30="","",IF(N30&gt;=38,"A",IF(N30&gt;=26,"B","C")))</f>
        <v/>
      </c>
      <c r="P30" s="20" t="inlineStr"/>
      <c r="Q30" s="20" t="inlineStr"/>
      <c r="R30" s="24" t="inlineStr"/>
      <c r="S30" s="20" t="inlineStr"/>
    </row>
    <row r="31">
      <c r="A31" s="20" t="inlineStr"/>
      <c r="B31" s="20" t="inlineStr"/>
      <c r="C31" s="20" t="inlineStr"/>
      <c r="D31" s="21" t="inlineStr"/>
      <c r="E31" s="20" t="inlineStr"/>
      <c r="F31" s="20" t="inlineStr"/>
      <c r="G31" s="20" t="inlineStr"/>
      <c r="H31" s="20" t="inlineStr"/>
      <c r="I31" s="20" t="inlineStr"/>
      <c r="J31" s="20" t="inlineStr"/>
      <c r="K31" s="20" t="inlineStr"/>
      <c r="L31" s="20" t="inlineStr"/>
      <c r="M31" s="20" t="inlineStr"/>
      <c r="N31" s="22">
        <f>IF(COUNT(J31:M31)&lt;4,"",J31*3+K31*2+L31*2+M31*3)</f>
        <v/>
      </c>
      <c r="O31" s="23">
        <f>IF(N31="","",IF(N31&gt;=38,"A",IF(N31&gt;=26,"B","C")))</f>
        <v/>
      </c>
      <c r="P31" s="20" t="inlineStr"/>
      <c r="Q31" s="20" t="inlineStr"/>
      <c r="R31" s="24" t="inlineStr"/>
      <c r="S31" s="20" t="inlineStr"/>
    </row>
    <row r="32">
      <c r="A32" s="20" t="inlineStr"/>
      <c r="B32" s="20" t="inlineStr"/>
      <c r="C32" s="20" t="inlineStr"/>
      <c r="D32" s="21" t="inlineStr"/>
      <c r="E32" s="20" t="inlineStr"/>
      <c r="F32" s="20" t="inlineStr"/>
      <c r="G32" s="20" t="inlineStr"/>
      <c r="H32" s="20" t="inlineStr"/>
      <c r="I32" s="20" t="inlineStr"/>
      <c r="J32" s="20" t="inlineStr"/>
      <c r="K32" s="20" t="inlineStr"/>
      <c r="L32" s="20" t="inlineStr"/>
      <c r="M32" s="20" t="inlineStr"/>
      <c r="N32" s="22">
        <f>IF(COUNT(J32:M32)&lt;4,"",J32*3+K32*2+L32*2+M32*3)</f>
        <v/>
      </c>
      <c r="O32" s="23">
        <f>IF(N32="","",IF(N32&gt;=38,"A",IF(N32&gt;=26,"B","C")))</f>
        <v/>
      </c>
      <c r="P32" s="20" t="inlineStr"/>
      <c r="Q32" s="20" t="inlineStr"/>
      <c r="R32" s="24" t="inlineStr"/>
      <c r="S32" s="20" t="inlineStr"/>
    </row>
    <row r="33">
      <c r="A33" s="20" t="inlineStr"/>
      <c r="B33" s="20" t="inlineStr"/>
      <c r="C33" s="20" t="inlineStr"/>
      <c r="D33" s="21" t="inlineStr"/>
      <c r="E33" s="20" t="inlineStr"/>
      <c r="F33" s="20" t="inlineStr"/>
      <c r="G33" s="20" t="inlineStr"/>
      <c r="H33" s="20" t="inlineStr"/>
      <c r="I33" s="20" t="inlineStr"/>
      <c r="J33" s="20" t="inlineStr"/>
      <c r="K33" s="20" t="inlineStr"/>
      <c r="L33" s="20" t="inlineStr"/>
      <c r="M33" s="20" t="inlineStr"/>
      <c r="N33" s="22">
        <f>IF(COUNT(J33:M33)&lt;4,"",J33*3+K33*2+L33*2+M33*3)</f>
        <v/>
      </c>
      <c r="O33" s="23">
        <f>IF(N33="","",IF(N33&gt;=38,"A",IF(N33&gt;=26,"B","C")))</f>
        <v/>
      </c>
      <c r="P33" s="20" t="inlineStr"/>
      <c r="Q33" s="20" t="inlineStr"/>
      <c r="R33" s="24" t="inlineStr"/>
      <c r="S33" s="20" t="inlineStr"/>
    </row>
    <row r="34">
      <c r="A34" s="20" t="inlineStr"/>
      <c r="B34" s="20" t="inlineStr"/>
      <c r="C34" s="20" t="inlineStr"/>
      <c r="D34" s="21" t="inlineStr"/>
      <c r="E34" s="20" t="inlineStr"/>
      <c r="F34" s="20" t="inlineStr"/>
      <c r="G34" s="20" t="inlineStr"/>
      <c r="H34" s="20" t="inlineStr"/>
      <c r="I34" s="20" t="inlineStr"/>
      <c r="J34" s="20" t="inlineStr"/>
      <c r="K34" s="20" t="inlineStr"/>
      <c r="L34" s="20" t="inlineStr"/>
      <c r="M34" s="20" t="inlineStr"/>
      <c r="N34" s="22">
        <f>IF(COUNT(J34:M34)&lt;4,"",J34*3+K34*2+L34*2+M34*3)</f>
        <v/>
      </c>
      <c r="O34" s="23">
        <f>IF(N34="","",IF(N34&gt;=38,"A",IF(N34&gt;=26,"B","C")))</f>
        <v/>
      </c>
      <c r="P34" s="20" t="inlineStr"/>
      <c r="Q34" s="20" t="inlineStr"/>
      <c r="R34" s="24" t="inlineStr"/>
      <c r="S34" s="20" t="inlineStr"/>
    </row>
    <row r="35">
      <c r="A35" s="20" t="inlineStr"/>
      <c r="B35" s="20" t="inlineStr"/>
      <c r="C35" s="20" t="inlineStr"/>
      <c r="D35" s="21" t="inlineStr"/>
      <c r="E35" s="20" t="inlineStr"/>
      <c r="F35" s="20" t="inlineStr"/>
      <c r="G35" s="20" t="inlineStr"/>
      <c r="H35" s="20" t="inlineStr"/>
      <c r="I35" s="20" t="inlineStr"/>
      <c r="J35" s="20" t="inlineStr"/>
      <c r="K35" s="20" t="inlineStr"/>
      <c r="L35" s="20" t="inlineStr"/>
      <c r="M35" s="20" t="inlineStr"/>
      <c r="N35" s="22">
        <f>IF(COUNT(J35:M35)&lt;4,"",J35*3+K35*2+L35*2+M35*3)</f>
        <v/>
      </c>
      <c r="O35" s="23">
        <f>IF(N35="","",IF(N35&gt;=38,"A",IF(N35&gt;=26,"B","C")))</f>
        <v/>
      </c>
      <c r="P35" s="20" t="inlineStr"/>
      <c r="Q35" s="20" t="inlineStr"/>
      <c r="R35" s="24" t="inlineStr"/>
      <c r="S35" s="20" t="inlineStr"/>
    </row>
    <row r="36">
      <c r="A36" s="20" t="inlineStr"/>
      <c r="B36" s="20" t="inlineStr"/>
      <c r="C36" s="20" t="inlineStr"/>
      <c r="D36" s="21" t="inlineStr"/>
      <c r="E36" s="20" t="inlineStr"/>
      <c r="F36" s="20" t="inlineStr"/>
      <c r="G36" s="20" t="inlineStr"/>
      <c r="H36" s="20" t="inlineStr"/>
      <c r="I36" s="20" t="inlineStr"/>
      <c r="J36" s="20" t="inlineStr"/>
      <c r="K36" s="20" t="inlineStr"/>
      <c r="L36" s="20" t="inlineStr"/>
      <c r="M36" s="20" t="inlineStr"/>
      <c r="N36" s="22">
        <f>IF(COUNT(J36:M36)&lt;4,"",J36*3+K36*2+L36*2+M36*3)</f>
        <v/>
      </c>
      <c r="O36" s="23">
        <f>IF(N36="","",IF(N36&gt;=38,"A",IF(N36&gt;=26,"B","C")))</f>
        <v/>
      </c>
      <c r="P36" s="20" t="inlineStr"/>
      <c r="Q36" s="20" t="inlineStr"/>
      <c r="R36" s="24" t="inlineStr"/>
      <c r="S36" s="20" t="inlineStr"/>
    </row>
    <row r="37">
      <c r="A37" s="20" t="inlineStr"/>
      <c r="B37" s="20" t="inlineStr"/>
      <c r="C37" s="20" t="inlineStr"/>
      <c r="D37" s="21" t="inlineStr"/>
      <c r="E37" s="20" t="inlineStr"/>
      <c r="F37" s="20" t="inlineStr"/>
      <c r="G37" s="20" t="inlineStr"/>
      <c r="H37" s="20" t="inlineStr"/>
      <c r="I37" s="20" t="inlineStr"/>
      <c r="J37" s="20" t="inlineStr"/>
      <c r="K37" s="20" t="inlineStr"/>
      <c r="L37" s="20" t="inlineStr"/>
      <c r="M37" s="20" t="inlineStr"/>
      <c r="N37" s="22">
        <f>IF(COUNT(J37:M37)&lt;4,"",J37*3+K37*2+L37*2+M37*3)</f>
        <v/>
      </c>
      <c r="O37" s="23">
        <f>IF(N37="","",IF(N37&gt;=38,"A",IF(N37&gt;=26,"B","C")))</f>
        <v/>
      </c>
      <c r="P37" s="20" t="inlineStr"/>
      <c r="Q37" s="20" t="inlineStr"/>
      <c r="R37" s="24" t="inlineStr"/>
      <c r="S37" s="20" t="inlineStr"/>
    </row>
    <row r="38">
      <c r="A38" s="20" t="inlineStr"/>
      <c r="B38" s="20" t="inlineStr"/>
      <c r="C38" s="20" t="inlineStr"/>
      <c r="D38" s="21" t="inlineStr"/>
      <c r="E38" s="20" t="inlineStr"/>
      <c r="F38" s="20" t="inlineStr"/>
      <c r="G38" s="20" t="inlineStr"/>
      <c r="H38" s="20" t="inlineStr"/>
      <c r="I38" s="20" t="inlineStr"/>
      <c r="J38" s="20" t="inlineStr"/>
      <c r="K38" s="20" t="inlineStr"/>
      <c r="L38" s="20" t="inlineStr"/>
      <c r="M38" s="20" t="inlineStr"/>
      <c r="N38" s="22">
        <f>IF(COUNT(J38:M38)&lt;4,"",J38*3+K38*2+L38*2+M38*3)</f>
        <v/>
      </c>
      <c r="O38" s="23">
        <f>IF(N38="","",IF(N38&gt;=38,"A",IF(N38&gt;=26,"B","C")))</f>
        <v/>
      </c>
      <c r="P38" s="20" t="inlineStr"/>
      <c r="Q38" s="20" t="inlineStr"/>
      <c r="R38" s="24" t="inlineStr"/>
      <c r="S38" s="20" t="inlineStr"/>
    </row>
    <row r="39">
      <c r="A39" s="20" t="inlineStr"/>
      <c r="B39" s="20" t="inlineStr"/>
      <c r="C39" s="20" t="inlineStr"/>
      <c r="D39" s="21" t="inlineStr"/>
      <c r="E39" s="20" t="inlineStr"/>
      <c r="F39" s="20" t="inlineStr"/>
      <c r="G39" s="20" t="inlineStr"/>
      <c r="H39" s="20" t="inlineStr"/>
      <c r="I39" s="20" t="inlineStr"/>
      <c r="J39" s="20" t="inlineStr"/>
      <c r="K39" s="20" t="inlineStr"/>
      <c r="L39" s="20" t="inlineStr"/>
      <c r="M39" s="20" t="inlineStr"/>
      <c r="N39" s="22">
        <f>IF(COUNT(J39:M39)&lt;4,"",J39*3+K39*2+L39*2+M39*3)</f>
        <v/>
      </c>
      <c r="O39" s="23">
        <f>IF(N39="","",IF(N39&gt;=38,"A",IF(N39&gt;=26,"B","C")))</f>
        <v/>
      </c>
      <c r="P39" s="20" t="inlineStr"/>
      <c r="Q39" s="20" t="inlineStr"/>
      <c r="R39" s="24" t="inlineStr"/>
      <c r="S39" s="20" t="inlineStr"/>
    </row>
    <row r="40">
      <c r="A40" s="20" t="inlineStr"/>
      <c r="B40" s="20" t="inlineStr"/>
      <c r="C40" s="20" t="inlineStr"/>
      <c r="D40" s="21" t="inlineStr"/>
      <c r="E40" s="20" t="inlineStr"/>
      <c r="F40" s="20" t="inlineStr"/>
      <c r="G40" s="20" t="inlineStr"/>
      <c r="H40" s="20" t="inlineStr"/>
      <c r="I40" s="20" t="inlineStr"/>
      <c r="J40" s="20" t="inlineStr"/>
      <c r="K40" s="20" t="inlineStr"/>
      <c r="L40" s="20" t="inlineStr"/>
      <c r="M40" s="20" t="inlineStr"/>
      <c r="N40" s="22">
        <f>IF(COUNT(J40:M40)&lt;4,"",J40*3+K40*2+L40*2+M40*3)</f>
        <v/>
      </c>
      <c r="O40" s="23">
        <f>IF(N40="","",IF(N40&gt;=38,"A",IF(N40&gt;=26,"B","C")))</f>
        <v/>
      </c>
      <c r="P40" s="20" t="inlineStr"/>
      <c r="Q40" s="20" t="inlineStr"/>
      <c r="R40" s="24" t="inlineStr"/>
      <c r="S40" s="20" t="inlineStr"/>
    </row>
    <row r="41">
      <c r="A41" s="20" t="inlineStr"/>
      <c r="B41" s="20" t="inlineStr"/>
      <c r="C41" s="20" t="inlineStr"/>
      <c r="D41" s="21" t="inlineStr"/>
      <c r="E41" s="20" t="inlineStr"/>
      <c r="F41" s="20" t="inlineStr"/>
      <c r="G41" s="20" t="inlineStr"/>
      <c r="H41" s="20" t="inlineStr"/>
      <c r="I41" s="20" t="inlineStr"/>
      <c r="J41" s="20" t="inlineStr"/>
      <c r="K41" s="20" t="inlineStr"/>
      <c r="L41" s="20" t="inlineStr"/>
      <c r="M41" s="20" t="inlineStr"/>
      <c r="N41" s="22">
        <f>IF(COUNT(J41:M41)&lt;4,"",J41*3+K41*2+L41*2+M41*3)</f>
        <v/>
      </c>
      <c r="O41" s="23">
        <f>IF(N41="","",IF(N41&gt;=38,"A",IF(N41&gt;=26,"B","C")))</f>
        <v/>
      </c>
      <c r="P41" s="20" t="inlineStr"/>
      <c r="Q41" s="20" t="inlineStr"/>
      <c r="R41" s="24" t="inlineStr"/>
      <c r="S41" s="20" t="inlineStr"/>
    </row>
    <row r="42">
      <c r="A42" s="20" t="inlineStr"/>
      <c r="B42" s="20" t="inlineStr"/>
      <c r="C42" s="20" t="inlineStr"/>
      <c r="D42" s="21" t="inlineStr"/>
      <c r="E42" s="20" t="inlineStr"/>
      <c r="F42" s="20" t="inlineStr"/>
      <c r="G42" s="20" t="inlineStr"/>
      <c r="H42" s="20" t="inlineStr"/>
      <c r="I42" s="20" t="inlineStr"/>
      <c r="J42" s="20" t="inlineStr"/>
      <c r="K42" s="20" t="inlineStr"/>
      <c r="L42" s="20" t="inlineStr"/>
      <c r="M42" s="20" t="inlineStr"/>
      <c r="N42" s="22">
        <f>IF(COUNT(J42:M42)&lt;4,"",J42*3+K42*2+L42*2+M42*3)</f>
        <v/>
      </c>
      <c r="O42" s="23">
        <f>IF(N42="","",IF(N42&gt;=38,"A",IF(N42&gt;=26,"B","C")))</f>
        <v/>
      </c>
      <c r="P42" s="20" t="inlineStr"/>
      <c r="Q42" s="20" t="inlineStr"/>
      <c r="R42" s="24" t="inlineStr"/>
      <c r="S42" s="20" t="inlineStr"/>
    </row>
    <row r="43">
      <c r="A43" s="20" t="inlineStr"/>
      <c r="B43" s="20" t="inlineStr"/>
      <c r="C43" s="20" t="inlineStr"/>
      <c r="D43" s="21" t="inlineStr"/>
      <c r="E43" s="20" t="inlineStr"/>
      <c r="F43" s="20" t="inlineStr"/>
      <c r="G43" s="20" t="inlineStr"/>
      <c r="H43" s="20" t="inlineStr"/>
      <c r="I43" s="20" t="inlineStr"/>
      <c r="J43" s="20" t="inlineStr"/>
      <c r="K43" s="20" t="inlineStr"/>
      <c r="L43" s="20" t="inlineStr"/>
      <c r="M43" s="20" t="inlineStr"/>
      <c r="N43" s="22">
        <f>IF(COUNT(J43:M43)&lt;4,"",J43*3+K43*2+L43*2+M43*3)</f>
        <v/>
      </c>
      <c r="O43" s="23">
        <f>IF(N43="","",IF(N43&gt;=38,"A",IF(N43&gt;=26,"B","C")))</f>
        <v/>
      </c>
      <c r="P43" s="20" t="inlineStr"/>
      <c r="Q43" s="20" t="inlineStr"/>
      <c r="R43" s="24" t="inlineStr"/>
      <c r="S43" s="20" t="inlineStr"/>
    </row>
    <row r="44">
      <c r="A44" s="20" t="inlineStr"/>
      <c r="B44" s="20" t="inlineStr"/>
      <c r="C44" s="20" t="inlineStr"/>
      <c r="D44" s="21" t="inlineStr"/>
      <c r="E44" s="20" t="inlineStr"/>
      <c r="F44" s="20" t="inlineStr"/>
      <c r="G44" s="20" t="inlineStr"/>
      <c r="H44" s="20" t="inlineStr"/>
      <c r="I44" s="20" t="inlineStr"/>
      <c r="J44" s="20" t="inlineStr"/>
      <c r="K44" s="20" t="inlineStr"/>
      <c r="L44" s="20" t="inlineStr"/>
      <c r="M44" s="20" t="inlineStr"/>
      <c r="N44" s="22">
        <f>IF(COUNT(J44:M44)&lt;4,"",J44*3+K44*2+L44*2+M44*3)</f>
        <v/>
      </c>
      <c r="O44" s="23">
        <f>IF(N44="","",IF(N44&gt;=38,"A",IF(N44&gt;=26,"B","C")))</f>
        <v/>
      </c>
      <c r="P44" s="20" t="inlineStr"/>
      <c r="Q44" s="20" t="inlineStr"/>
      <c r="R44" s="24" t="inlineStr"/>
      <c r="S44" s="20" t="inlineStr"/>
    </row>
    <row r="45">
      <c r="A45" s="20" t="inlineStr"/>
      <c r="B45" s="20" t="inlineStr"/>
      <c r="C45" s="20" t="inlineStr"/>
      <c r="D45" s="21" t="inlineStr"/>
      <c r="E45" s="20" t="inlineStr"/>
      <c r="F45" s="20" t="inlineStr"/>
      <c r="G45" s="20" t="inlineStr"/>
      <c r="H45" s="20" t="inlineStr"/>
      <c r="I45" s="20" t="inlineStr"/>
      <c r="J45" s="20" t="inlineStr"/>
      <c r="K45" s="20" t="inlineStr"/>
      <c r="L45" s="20" t="inlineStr"/>
      <c r="M45" s="20" t="inlineStr"/>
      <c r="N45" s="22">
        <f>IF(COUNT(J45:M45)&lt;4,"",J45*3+K45*2+L45*2+M45*3)</f>
        <v/>
      </c>
      <c r="O45" s="23">
        <f>IF(N45="","",IF(N45&gt;=38,"A",IF(N45&gt;=26,"B","C")))</f>
        <v/>
      </c>
      <c r="P45" s="20" t="inlineStr"/>
      <c r="Q45" s="20" t="inlineStr"/>
      <c r="R45" s="24" t="inlineStr"/>
      <c r="S45" s="20" t="inlineStr"/>
    </row>
    <row r="47">
      <c r="A47" s="13" t="inlineStr">
        <is>
          <t>B. The scoring rubric — four factors, weighted, maximum 50</t>
        </is>
      </c>
      <c r="B47" s="14" t="n"/>
      <c r="C47" s="14" t="n"/>
      <c r="D47" s="14" t="n"/>
      <c r="E47" s="14" t="n"/>
      <c r="F47" s="14" t="n"/>
      <c r="G47" s="14" t="n"/>
      <c r="H47" s="14" t="n"/>
      <c r="I47" s="14" t="n"/>
      <c r="J47" s="14" t="n"/>
      <c r="K47" s="14" t="n"/>
      <c r="L47" s="14" t="n"/>
      <c r="M47" s="14" t="n"/>
      <c r="N47" s="14" t="n"/>
      <c r="O47" s="14" t="n"/>
      <c r="P47" s="14" t="n"/>
      <c r="Q47" s="14" t="n"/>
      <c r="R47" s="14" t="n"/>
      <c r="S47" s="14" t="n"/>
    </row>
    <row r="48" ht="30" customHeight="1">
      <c r="A48" s="3" t="inlineStr">
        <is>
          <t>Factor</t>
        </is>
      </c>
      <c r="B48" s="3" t="inlineStr">
        <is>
          <t>Weight</t>
        </is>
      </c>
      <c r="C48" s="3" t="inlineStr">
        <is>
          <t>5</t>
        </is>
      </c>
      <c r="D48" s="3" t="inlineStr">
        <is>
          <t>3</t>
        </is>
      </c>
      <c r="E48" s="3" t="inlineStr">
        <is>
          <t>1</t>
        </is>
      </c>
      <c r="F48" s="3" t="inlineStr"/>
      <c r="G48" s="3" t="inlineStr"/>
      <c r="H48" s="3" t="inlineStr"/>
      <c r="I48" s="3" t="inlineStr"/>
      <c r="J48" s="3" t="inlineStr"/>
      <c r="K48" s="3" t="inlineStr"/>
      <c r="L48" s="3" t="inlineStr"/>
      <c r="M48" s="3" t="inlineStr"/>
      <c r="N48" s="3" t="inlineStr"/>
      <c r="O48" s="3" t="inlineStr"/>
      <c r="P48" s="3" t="inlineStr"/>
      <c r="Q48" s="3" t="inlineStr">
        <is>
          <t>Rule</t>
        </is>
      </c>
      <c r="R48" s="3" t="inlineStr"/>
      <c r="S48" s="3" t="inlineStr"/>
    </row>
    <row r="49" ht="26" customHeight="1">
      <c r="A49" s="15" t="inlineStr">
        <is>
          <t>B2B credit volume</t>
        </is>
      </c>
      <c r="B49" s="15" t="inlineStr">
        <is>
          <t>×3</t>
        </is>
      </c>
      <c r="C49" s="15" t="inlineStr">
        <is>
          <t>20+ credit customers, band A</t>
        </is>
      </c>
      <c r="D49" s="15" t="inlineStr">
        <is>
          <t>8–15 customers, band B</t>
        </is>
      </c>
      <c r="E49" s="15" t="inlineStr">
        <is>
          <t>Cash/UPI only</t>
        </is>
      </c>
      <c r="Q49" s="15" t="inlineStr">
        <is>
          <t>The one factor worth arguing about — it is the whole reason he would pay</t>
        </is>
      </c>
    </row>
    <row r="50" ht="26" customHeight="1">
      <c r="A50" s="15" t="inlineStr">
        <is>
          <t>Second-generation presence</t>
        </is>
      </c>
      <c r="B50" s="15" t="inlineStr">
        <is>
          <t>×2</t>
        </is>
      </c>
      <c r="C50" s="15" t="inlineStr">
        <is>
          <t>Son/daughter running operations</t>
        </is>
      </c>
      <c r="D50" s="15" t="inlineStr">
        <is>
          <t>Involved but not deciding</t>
        </is>
      </c>
      <c r="E50" s="15" t="inlineStr">
        <is>
          <t>Owner 65+, nobody younger</t>
        </is>
      </c>
      <c r="Q50" s="15" t="inlineStr">
        <is>
          <t>The son influences; the father signs (HC5)</t>
        </is>
      </c>
    </row>
    <row r="51" ht="26" customHeight="1">
      <c r="A51" s="15" t="inlineStr">
        <is>
          <t>Distance from Raipur</t>
        </is>
      </c>
      <c r="B51" s="15" t="inlineStr">
        <is>
          <t>×2</t>
        </is>
      </c>
      <c r="C51" s="15" t="inlineStr">
        <is>
          <t>≤20 km</t>
        </is>
      </c>
      <c r="D51" s="15" t="inlineStr">
        <is>
          <t>21–40 km</t>
        </is>
      </c>
      <c r="E51" s="15" t="inlineStr">
        <is>
          <t>60 km+</t>
        </is>
      </c>
      <c r="Q51" s="15" t="inlineStr">
        <is>
          <t>Straight-line km; drives the cluster you visit in one morning</t>
        </is>
      </c>
    </row>
    <row r="52" ht="26" customHeight="1">
      <c r="A52" s="15" t="inlineStr">
        <is>
          <t>Intro path strength</t>
        </is>
      </c>
      <c r="B52" s="15" t="inlineStr">
        <is>
          <t>×3</t>
        </is>
      </c>
      <c r="C52" s="15" t="inlineStr">
        <is>
          <t>The domain director knows him</t>
        </is>
      </c>
      <c r="D52" s="15" t="inlineStr">
        <is>
          <t>A CA or association contact</t>
        </is>
      </c>
      <c r="E52" s="15" t="inlineStr">
        <is>
          <t>None yet</t>
        </is>
      </c>
      <c r="Q52" s="15" t="inlineStr">
        <is>
          <t>The one column nobody can scrape</t>
        </is>
      </c>
    </row>
    <row r="54">
      <c r="A54" s="15" t="inlineStr">
        <is>
          <t>Bands</t>
        </is>
      </c>
      <c r="B54" s="15" t="inlineStr">
        <is>
          <t>A ≥ 38</t>
        </is>
      </c>
      <c r="C54" s="15" t="inlineStr">
        <is>
          <t>B 26–37</t>
        </is>
      </c>
      <c r="D54" s="15" t="inlineStr">
        <is>
          <t>C ≤ 25</t>
        </is>
      </c>
      <c r="E54" s="15" t="inlineStr">
        <is>
          <t>Work A first, in geographic clusters, so one morning covers four pumps.</t>
        </is>
      </c>
    </row>
    <row r="56">
      <c r="A56" s="13" t="inlineStr">
        <is>
          <t>C. Monday grooming — 20 minutes before the ops meeting</t>
        </is>
      </c>
      <c r="B56" s="14" t="n"/>
      <c r="C56" s="14" t="n"/>
      <c r="D56" s="14" t="n"/>
      <c r="E56" s="14" t="n"/>
      <c r="F56" s="14" t="n"/>
      <c r="G56" s="14" t="n"/>
      <c r="H56" s="14" t="n"/>
      <c r="I56" s="14" t="n"/>
      <c r="J56" s="14" t="n"/>
      <c r="K56" s="14" t="n"/>
      <c r="L56" s="14" t="n"/>
      <c r="M56" s="14" t="n"/>
      <c r="N56" s="14" t="n"/>
      <c r="O56" s="14" t="n"/>
      <c r="P56" s="14" t="n"/>
      <c r="Q56" s="14" t="n"/>
      <c r="R56" s="14" t="n"/>
      <c r="S56" s="14" t="n"/>
    </row>
    <row r="57" ht="30" customHeight="1">
      <c r="A57" s="3" t="inlineStr">
        <is>
          <t>Check</t>
        </is>
      </c>
      <c r="B57" s="3" t="inlineStr">
        <is>
          <t>Count</t>
        </is>
      </c>
      <c r="C57" s="3" t="inlineStr">
        <is>
          <t>Rule</t>
        </is>
      </c>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row>
    <row r="58">
      <c r="A58" s="4" t="inlineStr">
        <is>
          <t>Rows on the list</t>
        </is>
      </c>
      <c r="B58" s="25">
        <f>SUMPRODUCT(1*(A6:A45&lt;&gt;""))</f>
        <v/>
      </c>
      <c r="C58" s="4" t="inlineStr">
        <is>
          <t>30 by Week 1, 100 by Week 4. HC3 needs ~60% of ICP pumps within 60 km, and you cannot claim a percentage without a count.</t>
        </is>
      </c>
      <c r="D58" s="26" t="n"/>
      <c r="E58" s="26" t="n"/>
      <c r="F58" s="26" t="n"/>
      <c r="G58" s="26" t="n"/>
      <c r="H58" s="26" t="n"/>
      <c r="I58" s="26" t="n"/>
      <c r="J58" s="26" t="n"/>
      <c r="K58" s="26" t="n"/>
      <c r="L58" s="26" t="n"/>
      <c r="M58" s="26" t="n"/>
      <c r="N58" s="26" t="n"/>
      <c r="O58" s="26" t="n"/>
      <c r="P58" s="26" t="n"/>
      <c r="Q58" s="26" t="n"/>
      <c r="R58" s="26" t="n"/>
      <c r="S58" s="27" t="n"/>
    </row>
    <row r="59">
      <c r="A59" s="4" t="inlineStr">
        <is>
          <t>Band A rows</t>
        </is>
      </c>
      <c r="B59" s="25">
        <f>COUNTIF(O6:O45,"A")</f>
        <v/>
      </c>
      <c r="C59" s="4" t="inlineStr">
        <is>
          <t>These are this week's visits. Cluster them geographically.</t>
        </is>
      </c>
      <c r="D59" s="26" t="n"/>
      <c r="E59" s="26" t="n"/>
      <c r="F59" s="26" t="n"/>
      <c r="G59" s="26" t="n"/>
      <c r="H59" s="26" t="n"/>
      <c r="I59" s="26" t="n"/>
      <c r="J59" s="26" t="n"/>
      <c r="K59" s="26" t="n"/>
      <c r="L59" s="26" t="n"/>
      <c r="M59" s="26" t="n"/>
      <c r="N59" s="26" t="n"/>
      <c r="O59" s="26" t="n"/>
      <c r="P59" s="26" t="n"/>
      <c r="Q59" s="26" t="n"/>
      <c r="R59" s="26" t="n"/>
      <c r="S59" s="27" t="n"/>
    </row>
    <row r="60">
      <c r="A60" s="4" t="inlineStr">
        <is>
          <t>Band B rows</t>
        </is>
      </c>
      <c r="B60" s="25">
        <f>COUNTIF(O6:O45,"B")</f>
        <v/>
      </c>
      <c r="C60" s="4" t="inlineStr">
        <is>
          <t>Worked after the A rows, or when a cluster run passes the door.</t>
        </is>
      </c>
      <c r="D60" s="26" t="n"/>
      <c r="E60" s="26" t="n"/>
      <c r="F60" s="26" t="n"/>
      <c r="G60" s="26" t="n"/>
      <c r="H60" s="26" t="n"/>
      <c r="I60" s="26" t="n"/>
      <c r="J60" s="26" t="n"/>
      <c r="K60" s="26" t="n"/>
      <c r="L60" s="26" t="n"/>
      <c r="M60" s="26" t="n"/>
      <c r="N60" s="26" t="n"/>
      <c r="O60" s="26" t="n"/>
      <c r="P60" s="26" t="n"/>
      <c r="Q60" s="26" t="n"/>
      <c r="R60" s="26" t="n"/>
      <c r="S60" s="27" t="n"/>
    </row>
    <row r="61">
      <c r="A61" s="4" t="inlineStr">
        <is>
          <t>Band C rows</t>
        </is>
      </c>
      <c r="B61" s="25">
        <f>COUNTIF(O6:O45,"C")</f>
        <v/>
      </c>
      <c r="C61" s="4" t="inlineStr">
        <is>
          <t>Not visits. To visit one, change a factor score and say which.</t>
        </is>
      </c>
      <c r="D61" s="26" t="n"/>
      <c r="E61" s="26" t="n"/>
      <c r="F61" s="26" t="n"/>
      <c r="G61" s="26" t="n"/>
      <c r="H61" s="26" t="n"/>
      <c r="I61" s="26" t="n"/>
      <c r="J61" s="26" t="n"/>
      <c r="K61" s="26" t="n"/>
      <c r="L61" s="26" t="n"/>
      <c r="M61" s="26" t="n"/>
      <c r="N61" s="26" t="n"/>
      <c r="O61" s="26" t="n"/>
      <c r="P61" s="26" t="n"/>
      <c r="Q61" s="26" t="n"/>
      <c r="R61" s="26" t="n"/>
      <c r="S61" s="27" t="n"/>
    </row>
    <row r="62">
      <c r="A62" s="4" t="inlineStr">
        <is>
          <t>Rows with no owner name</t>
        </is>
      </c>
      <c r="B62" s="25">
        <f>SUMPRODUCT((A6:A45&lt;&gt;"")*(E6:E45=""))</f>
        <v/>
      </c>
      <c r="C62" s="4" t="inlineStr">
        <is>
          <t>An address is not a lead. Must be zero before scoring.</t>
        </is>
      </c>
      <c r="D62" s="26" t="n"/>
      <c r="E62" s="26" t="n"/>
      <c r="F62" s="26" t="n"/>
      <c r="G62" s="26" t="n"/>
      <c r="H62" s="26" t="n"/>
      <c r="I62" s="26" t="n"/>
      <c r="J62" s="26" t="n"/>
      <c r="K62" s="26" t="n"/>
      <c r="L62" s="26" t="n"/>
      <c r="M62" s="26" t="n"/>
      <c r="N62" s="26" t="n"/>
      <c r="O62" s="26" t="n"/>
      <c r="P62" s="26" t="n"/>
      <c r="Q62" s="26" t="n"/>
      <c r="R62" s="26" t="n"/>
      <c r="S62" s="27" t="n"/>
    </row>
    <row r="63">
      <c r="A63" s="4" t="inlineStr">
        <is>
          <t>Rows with no dated next action</t>
        </is>
      </c>
      <c r="B63" s="25">
        <f>SUMPRODUCT((A6:A45&lt;&gt;"")*(R6:R45=""))</f>
        <v/>
      </c>
      <c r="C63" s="4" t="inlineStr">
        <is>
          <t>No date, no action, row is dead.</t>
        </is>
      </c>
      <c r="D63" s="26" t="n"/>
      <c r="E63" s="26" t="n"/>
      <c r="F63" s="26" t="n"/>
      <c r="G63" s="26" t="n"/>
      <c r="H63" s="26" t="n"/>
      <c r="I63" s="26" t="n"/>
      <c r="J63" s="26" t="n"/>
      <c r="K63" s="26" t="n"/>
      <c r="L63" s="26" t="n"/>
      <c r="M63" s="26" t="n"/>
      <c r="N63" s="26" t="n"/>
      <c r="O63" s="26" t="n"/>
      <c r="P63" s="26" t="n"/>
      <c r="Q63" s="26" t="n"/>
      <c r="R63" s="26" t="n"/>
      <c r="S63" s="27" t="n"/>
    </row>
    <row r="64">
      <c r="A64" s="4" t="inlineStr">
        <is>
          <t>Next actions past due</t>
        </is>
      </c>
      <c r="B64" s="25">
        <f>SUMPRODUCT((R6:R45&lt;&gt;"")*(R6:R45&lt;TODAY()))</f>
        <v/>
      </c>
      <c r="C64" s="4" t="inlineStr">
        <is>
          <t>Every one gets a new date or the row becomes DQ on Monday.</t>
        </is>
      </c>
      <c r="D64" s="26" t="n"/>
      <c r="E64" s="26" t="n"/>
      <c r="F64" s="26" t="n"/>
      <c r="G64" s="26" t="n"/>
      <c r="H64" s="26" t="n"/>
      <c r="I64" s="26" t="n"/>
      <c r="J64" s="26" t="n"/>
      <c r="K64" s="26" t="n"/>
      <c r="L64" s="26" t="n"/>
      <c r="M64" s="26" t="n"/>
      <c r="N64" s="26" t="n"/>
      <c r="O64" s="26" t="n"/>
      <c r="P64" s="26" t="n"/>
      <c r="Q64" s="26" t="n"/>
      <c r="R64" s="26" t="n"/>
      <c r="S64" s="27" t="n"/>
    </row>
    <row r="65">
      <c r="A65" s="4" t="inlineStr">
        <is>
          <t>Disqualified (DQ)</t>
        </is>
      </c>
      <c r="B65" s="25">
        <f>COUNTIF(P6:P45,"DQ")</f>
        <v/>
      </c>
      <c r="C65" s="4" t="inlineStr">
        <is>
          <t>DQ rows STAY, with a re-look date — or you research them again in three months.</t>
        </is>
      </c>
      <c r="D65" s="26" t="n"/>
      <c r="E65" s="26" t="n"/>
      <c r="F65" s="26" t="n"/>
      <c r="G65" s="26" t="n"/>
      <c r="H65" s="26" t="n"/>
      <c r="I65" s="26" t="n"/>
      <c r="J65" s="26" t="n"/>
      <c r="K65" s="26" t="n"/>
      <c r="L65" s="26" t="n"/>
      <c r="M65" s="26" t="n"/>
      <c r="N65" s="26" t="n"/>
      <c r="O65" s="26" t="n"/>
      <c r="P65" s="26" t="n"/>
      <c r="Q65" s="26" t="n"/>
      <c r="R65" s="26" t="n"/>
      <c r="S65" s="27" t="n"/>
    </row>
    <row r="67" ht="56" customHeight="1">
      <c r="A67" s="12" t="inlineStr">
        <is>
          <t>Scores on the five example rows are computed strictly from the rubric above, so they differ by a few points from the illustrative totals printed in M03's worked-example table (that table's numbers were written by hand and are not reproducible from its own rubric — 47/42/34/21/12 there, 50/40/30/20/18 here). The ranking, which is the point of the sheet, is identical. Sources for building the list: IOCL / BPCL / HPCL outlet locators, PPAC's state-wise retail-outlet file, association rolls, hardware service engineers, and the domain director's phone — see M03.</t>
        </is>
      </c>
    </row>
  </sheetData>
  <mergeCells count="9">
    <mergeCell ref="C61:S61"/>
    <mergeCell ref="C64:S64"/>
    <mergeCell ref="C59:S59"/>
    <mergeCell ref="C65:S65"/>
    <mergeCell ref="A67:S67"/>
    <mergeCell ref="C62:S62"/>
    <mergeCell ref="C60:S60"/>
    <mergeCell ref="C58:S58"/>
    <mergeCell ref="C63:S63"/>
  </mergeCells>
  <conditionalFormatting sqref="N6:N45">
    <cfRule type="colorScale" priority="1">
      <colorScale>
        <cfvo type="num" val="10"/>
        <cfvo type="num" val="30"/>
        <cfvo type="num" val="50"/>
        <color rgb="00FEE2E2"/>
        <color rgb="00FEF3C7"/>
        <color rgb="00DCFCE7"/>
      </colorScale>
    </cfRule>
  </conditionalFormatting>
  <conditionalFormatting sqref="R6:R45">
    <cfRule type="cellIs" priority="2" operator="lessThan" dxfId="0">
      <formula>TODAY()</formula>
    </cfRule>
  </conditionalFormatting>
  <dataValidations count="6">
    <dataValidation sqref="B6:B45" showDropDown="0" showInputMessage="0" showErrorMessage="1" allowBlank="1" errorTitle="Pick from list" error="Please pick a value from the dropdown." type="list">
      <formula1>"IOCL,BPCL,HPCL,Reliance,Nayara,Shell,other"</formula1>
    </dataValidation>
    <dataValidation sqref="F6:F45" showDropDown="0" showInputMessage="0" showErrorMessage="1" allowBlank="1" errorTitle="Pick from list" error="Please pick a value from the dropdown." type="list">
      <formula1>"Y,N,unknown"</formula1>
    </dataValidation>
    <dataValidation sqref="H6:H45" showDropDown="0" showInputMessage="0" showErrorMessage="1" allowBlank="1" errorTitle="Pick from list" error="Please pick a value from the dropdown." type="list">
      <formula1>"A,B,C"</formula1>
    </dataValidation>
    <dataValidation sqref="P6:P45" showDropDown="0" showInputMessage="0" showErrorMessage="1" allowBlank="1" errorTitle="Pick from list" error="Please pick a value from the dropdown." type="list">
      <formula1>"New,Researching,Intro requested,Visited,Demo,Trial,Won,Lost,DQ"</formula1>
    </dataValidation>
    <dataValidation sqref="S6:S45" showDropDown="0" showInputMessage="0" showErrorMessage="1" allowBlank="1" errorTitle="Pick from list" error="Please pick a value from the dropdown." type="list">
      <formula1>"CEO,Domain dir.,Third dir.,—"</formula1>
    </dataValidation>
    <dataValidation sqref="J6:M45" showDropDown="0" showInputMessage="0" showErrorMessage="1" allowBlank="1" errorTitle="1–5 only" error="Score this factor 1–5. See the rubric on this sheet."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tabColor rgb="00475569"/>
    <outlinePr summaryBelow="1" summaryRight="1"/>
    <pageSetUpPr/>
  </sheetPr>
  <dimension ref="A1:Q8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4" customWidth="1" min="3" max="3"/>
    <col width="13" customWidth="1" min="4" max="4"/>
    <col width="16" customWidth="1" min="5" max="5"/>
    <col width="12" customWidth="1" min="6" max="6"/>
    <col width="10" customWidth="1" min="7" max="7"/>
    <col width="32" customWidth="1" min="8" max="8"/>
    <col width="12" customWidth="1" min="9" max="9"/>
    <col width="32" customWidth="1" min="10" max="10"/>
    <col width="12" customWidth="1" min="11" max="11"/>
    <col width="12" customWidth="1" min="12" max="12"/>
    <col width="11" customWidth="1" min="13" max="13"/>
    <col width="10" customWidth="1" min="14" max="14"/>
    <col width="11" customWidth="1" min="15" max="15"/>
    <col width="12" customWidth="1" min="16" max="16"/>
    <col width="12" customWidth="1" min="17" max="17"/>
  </cols>
  <sheetData>
    <row r="1" ht="23" customHeight="1">
      <c r="A1" s="1" t="inlineStr">
        <is>
          <t>Pipeline — every named pump, its stage, its next action and the objection actually blocking it</t>
        </is>
      </c>
    </row>
    <row r="2" ht="26" customHeight="1">
      <c r="A2" s="2" t="inlineStr">
        <is>
          <t>Fills M07 and lesson 06. Nine stages, each with an exit test (section B) — do not add a stage. A stage moves only on its exit test; a cold row becomes Lost with a reason, never quietly Demoed again. Objections are recorded VERBATIM, in his language — a paraphrase feeds nothing back into M05. Plan / tier and MRR are VERIFY LIVE, owner sign-off pending.</t>
        </is>
      </c>
    </row>
    <row r="4">
      <c r="A4" s="13" t="inlineStr">
        <is>
          <t>A. The pipeline</t>
        </is>
      </c>
      <c r="B4" s="14" t="n"/>
      <c r="C4" s="14" t="n"/>
      <c r="D4" s="14" t="n"/>
      <c r="E4" s="14" t="n"/>
      <c r="F4" s="14" t="n"/>
      <c r="G4" s="14" t="n"/>
      <c r="H4" s="14" t="n"/>
      <c r="I4" s="14" t="n"/>
      <c r="J4" s="14" t="n"/>
      <c r="K4" s="14" t="n"/>
      <c r="L4" s="14" t="n"/>
      <c r="M4" s="14" t="n"/>
      <c r="N4" s="14" t="n"/>
      <c r="O4" s="14" t="n"/>
      <c r="P4" s="14" t="n"/>
      <c r="Q4" s="14" t="n"/>
    </row>
    <row r="5" ht="30" customHeight="1">
      <c r="A5" s="3" t="inlineStr">
        <is>
          <t>Pump</t>
        </is>
      </c>
      <c r="B5" s="3" t="inlineStr">
        <is>
          <t>Owner (dealer)</t>
        </is>
      </c>
      <c r="C5" s="3" t="inlineStr">
        <is>
          <t>Segment</t>
        </is>
      </c>
      <c r="D5" s="3" t="inlineStr">
        <is>
          <t>Source channel</t>
        </is>
      </c>
      <c r="E5" s="3" t="inlineStr">
        <is>
          <t>Stage</t>
        </is>
      </c>
      <c r="F5" s="3" t="inlineStr">
        <is>
          <t>Last touch</t>
        </is>
      </c>
      <c r="G5" s="3" t="inlineStr">
        <is>
          <t>Days since last touch</t>
        </is>
      </c>
      <c r="H5" s="3" t="inlineStr">
        <is>
          <t>Next action (a verb and a name)</t>
        </is>
      </c>
      <c r="I5" s="3" t="inlineStr">
        <is>
          <t>Next date</t>
        </is>
      </c>
      <c r="J5" s="3" t="inlineStr">
        <is>
          <t>Objection heard (verbatim)</t>
        </is>
      </c>
      <c r="K5" s="3" t="inlineStr">
        <is>
          <t>Trial start</t>
        </is>
      </c>
      <c r="L5" s="3" t="inlineStr">
        <is>
          <t>Activation date</t>
        </is>
      </c>
      <c r="M5" s="3" t="inlineStr">
        <is>
          <t>Plan / tier</t>
        </is>
      </c>
      <c r="N5" s="3" t="inlineStr">
        <is>
          <t>MRR ₹</t>
        </is>
      </c>
      <c r="O5" s="3" t="inlineStr">
        <is>
          <t>Referral asked?</t>
        </is>
      </c>
      <c r="P5" s="3" t="inlineStr">
        <is>
          <t>Referral asked on</t>
        </is>
      </c>
      <c r="Q5" s="3" t="inlineStr">
        <is>
          <t>Owner (ours)</t>
        </is>
      </c>
    </row>
    <row r="6" ht="30" customHeight="1">
      <c r="A6" s="15" t="inlineStr">
        <is>
          <t>Maa Danteshwari Fuels</t>
        </is>
      </c>
      <c r="B6" s="15" t="inlineStr">
        <is>
          <t>R. Verma</t>
        </is>
      </c>
      <c r="C6" s="15" t="inlineStr">
        <is>
          <t>pump dealer</t>
        </is>
      </c>
      <c r="D6" s="15" t="inlineStr">
        <is>
          <t>referral</t>
        </is>
      </c>
      <c r="E6" s="15" t="inlineStr">
        <is>
          <t>Paying</t>
        </is>
      </c>
      <c r="F6" s="19" t="n">
        <v>46259</v>
      </c>
      <c r="G6" s="17">
        <f>IF(F6="","",TODAY()-F6)</f>
        <v/>
      </c>
      <c r="H6" s="15" t="inlineStr">
        <is>
          <t>Activation check at his month-end — Domain dir.</t>
        </is>
      </c>
      <c r="I6" s="19" t="n">
        <v>46263</v>
      </c>
      <c r="J6" s="15" t="inlineStr">
        <is>
          <t>—</t>
        </is>
      </c>
      <c r="K6" s="19" t="n">
        <v>46239</v>
      </c>
      <c r="M6" s="15" t="inlineStr">
        <is>
          <t>₹1,799</t>
        </is>
      </c>
      <c r="N6" s="28" t="n">
        <v>1799</v>
      </c>
      <c r="O6" s="15" t="inlineStr">
        <is>
          <t>Y</t>
        </is>
      </c>
      <c r="P6" s="19" t="n">
        <v>46259</v>
      </c>
      <c r="Q6" s="15" t="inlineStr">
        <is>
          <t>Domain dir.</t>
        </is>
      </c>
    </row>
    <row r="7" ht="30" customHeight="1">
      <c r="A7" s="15" t="inlineStr">
        <is>
          <t>Highway Auto Centre</t>
        </is>
      </c>
      <c r="B7" s="15" t="inlineStr">
        <is>
          <t>S. Sahu</t>
        </is>
      </c>
      <c r="C7" s="15" t="inlineStr">
        <is>
          <t>pump dealer</t>
        </is>
      </c>
      <c r="D7" s="15" t="inlineStr">
        <is>
          <t>OMC TM</t>
        </is>
      </c>
      <c r="E7" s="15" t="inlineStr">
        <is>
          <t>Trial started</t>
        </is>
      </c>
      <c r="F7" s="19" t="n">
        <v>46260</v>
      </c>
      <c r="G7" s="17">
        <f>IF(F7="","",TODAY()-F7)</f>
        <v/>
      </c>
      <c r="H7" s="15" t="inlineStr">
        <is>
          <t>Day-14 meeting with the munim present — Domain dir.</t>
        </is>
      </c>
      <c r="I7" s="19" t="n">
        <v>46274</v>
      </c>
      <c r="J7" s="15" t="inlineStr">
        <is>
          <t>"munim ko sikhana padega"</t>
        </is>
      </c>
      <c r="K7" s="19" t="n">
        <v>46260</v>
      </c>
      <c r="M7" s="15" t="inlineStr">
        <is>
          <t>—</t>
        </is>
      </c>
      <c r="O7" s="15" t="inlineStr">
        <is>
          <t>N</t>
        </is>
      </c>
      <c r="Q7" s="15" t="inlineStr">
        <is>
          <t>Domain dir.</t>
        </is>
      </c>
    </row>
    <row r="8" ht="30" customHeight="1">
      <c r="A8" s="15" t="inlineStr">
        <is>
          <t>Shree Balaji Filling</t>
        </is>
      </c>
      <c r="B8" s="15" t="inlineStr">
        <is>
          <t>M. Agrawal</t>
        </is>
      </c>
      <c r="C8" s="15" t="inlineStr">
        <is>
          <t>pump dealer</t>
        </is>
      </c>
      <c r="D8" s="15" t="inlineStr">
        <is>
          <t>CA</t>
        </is>
      </c>
      <c r="E8" s="15" t="inlineStr">
        <is>
          <t>Demoed</t>
        </is>
      </c>
      <c r="F8" s="19" t="n">
        <v>46255</v>
      </c>
      <c r="G8" s="17">
        <f>IF(F8="","",TODAY()-F8)</f>
        <v/>
      </c>
      <c r="H8" s="15" t="inlineStr">
        <is>
          <t>Re-demo with the son present — CEO</t>
        </is>
      </c>
      <c r="I8" s="19" t="n">
        <v>46267</v>
      </c>
      <c r="J8" s="15" t="inlineStr">
        <is>
          <t>"beta dekhega"</t>
        </is>
      </c>
      <c r="M8" s="15" t="inlineStr">
        <is>
          <t>—</t>
        </is>
      </c>
      <c r="O8" s="15" t="inlineStr">
        <is>
          <t>N</t>
        </is>
      </c>
      <c r="Q8" s="15" t="inlineStr">
        <is>
          <t>CEO</t>
        </is>
      </c>
    </row>
    <row r="9" ht="30" customHeight="1">
      <c r="A9" s="15" t="inlineStr">
        <is>
          <t>Ring Road Fuels</t>
        </is>
      </c>
      <c r="B9" s="15" t="inlineStr">
        <is>
          <t>K. Dewangan</t>
        </is>
      </c>
      <c r="C9" s="15" t="inlineStr">
        <is>
          <t>pump dealer</t>
        </is>
      </c>
      <c r="D9" s="15" t="inlineStr">
        <is>
          <t>field visit</t>
        </is>
      </c>
      <c r="E9" s="15" t="inlineStr">
        <is>
          <t>Visited</t>
        </is>
      </c>
      <c r="F9" s="19" t="n">
        <v>46242</v>
      </c>
      <c r="G9" s="17">
        <f>IF(F9="","",TODAY()-F9)</f>
        <v/>
      </c>
      <c r="H9" s="15" t="inlineStr"/>
      <c r="J9" s="15" t="inlineStr">
        <is>
          <t>"abhi Tally theek hai"</t>
        </is>
      </c>
      <c r="M9" s="15" t="inlineStr">
        <is>
          <t>—</t>
        </is>
      </c>
      <c r="O9" s="15" t="inlineStr">
        <is>
          <t>N</t>
        </is>
      </c>
      <c r="Q9" s="15" t="inlineStr">
        <is>
          <t>Third dir.</t>
        </is>
      </c>
    </row>
    <row r="10" ht="30" customHeight="1">
      <c r="A10" s="15" t="inlineStr">
        <is>
          <t>City Point Petroleum</t>
        </is>
      </c>
      <c r="B10" s="15" t="inlineStr">
        <is>
          <t>(manager-run)</t>
        </is>
      </c>
      <c r="C10" s="15" t="inlineStr">
        <is>
          <t>pump dealer</t>
        </is>
      </c>
      <c r="D10" s="15" t="inlineStr">
        <is>
          <t>field visit</t>
        </is>
      </c>
      <c r="E10" s="15" t="inlineStr">
        <is>
          <t>Lost</t>
        </is>
      </c>
      <c r="F10" s="19" t="n">
        <v>46238</v>
      </c>
      <c r="G10" s="17">
        <f>IF(F10="","",TODAY()-F10)</f>
        <v/>
      </c>
      <c r="H10" s="15" t="inlineStr">
        <is>
          <t>—</t>
        </is>
      </c>
      <c r="J10" s="15" t="inlineStr">
        <is>
          <t>"malik Dubai mein hain"</t>
        </is>
      </c>
      <c r="M10" s="15" t="inlineStr">
        <is>
          <t>—</t>
        </is>
      </c>
      <c r="O10" s="15" t="inlineStr">
        <is>
          <t>N</t>
        </is>
      </c>
      <c r="Q10" s="15" t="inlineStr">
        <is>
          <t>—</t>
        </is>
      </c>
    </row>
    <row r="11">
      <c r="A11" s="20" t="inlineStr"/>
      <c r="B11" s="20" t="inlineStr"/>
      <c r="C11" s="20" t="inlineStr"/>
      <c r="D11" s="20" t="inlineStr"/>
      <c r="E11" s="20" t="inlineStr"/>
      <c r="F11" s="24" t="inlineStr"/>
      <c r="G11" s="22">
        <f>IF(F11="","",TODAY()-F11)</f>
        <v/>
      </c>
      <c r="H11" s="20" t="inlineStr"/>
      <c r="I11" s="24" t="inlineStr"/>
      <c r="J11" s="20" t="inlineStr"/>
      <c r="K11" s="24" t="inlineStr"/>
      <c r="L11" s="24" t="inlineStr"/>
      <c r="M11" s="20" t="inlineStr"/>
      <c r="N11" s="29" t="inlineStr"/>
      <c r="O11" s="20" t="inlineStr"/>
      <c r="P11" s="24" t="inlineStr"/>
      <c r="Q11" s="20" t="inlineStr"/>
    </row>
    <row r="12">
      <c r="A12" s="20" t="inlineStr"/>
      <c r="B12" s="20" t="inlineStr"/>
      <c r="C12" s="20" t="inlineStr"/>
      <c r="D12" s="20" t="inlineStr"/>
      <c r="E12" s="20" t="inlineStr"/>
      <c r="F12" s="24" t="inlineStr"/>
      <c r="G12" s="22">
        <f>IF(F12="","",TODAY()-F12)</f>
        <v/>
      </c>
      <c r="H12" s="20" t="inlineStr"/>
      <c r="I12" s="24" t="inlineStr"/>
      <c r="J12" s="20" t="inlineStr"/>
      <c r="K12" s="24" t="inlineStr"/>
      <c r="L12" s="24" t="inlineStr"/>
      <c r="M12" s="20" t="inlineStr"/>
      <c r="N12" s="29" t="inlineStr"/>
      <c r="O12" s="20" t="inlineStr"/>
      <c r="P12" s="24" t="inlineStr"/>
      <c r="Q12" s="20" t="inlineStr"/>
    </row>
    <row r="13">
      <c r="A13" s="20" t="inlineStr"/>
      <c r="B13" s="20" t="inlineStr"/>
      <c r="C13" s="20" t="inlineStr"/>
      <c r="D13" s="20" t="inlineStr"/>
      <c r="E13" s="20" t="inlineStr"/>
      <c r="F13" s="24" t="inlineStr"/>
      <c r="G13" s="22">
        <f>IF(F13="","",TODAY()-F13)</f>
        <v/>
      </c>
      <c r="H13" s="20" t="inlineStr"/>
      <c r="I13" s="24" t="inlineStr"/>
      <c r="J13" s="20" t="inlineStr"/>
      <c r="K13" s="24" t="inlineStr"/>
      <c r="L13" s="24" t="inlineStr"/>
      <c r="M13" s="20" t="inlineStr"/>
      <c r="N13" s="29" t="inlineStr"/>
      <c r="O13" s="20" t="inlineStr"/>
      <c r="P13" s="24" t="inlineStr"/>
      <c r="Q13" s="20" t="inlineStr"/>
    </row>
    <row r="14">
      <c r="A14" s="20" t="inlineStr"/>
      <c r="B14" s="20" t="inlineStr"/>
      <c r="C14" s="20" t="inlineStr"/>
      <c r="D14" s="20" t="inlineStr"/>
      <c r="E14" s="20" t="inlineStr"/>
      <c r="F14" s="24" t="inlineStr"/>
      <c r="G14" s="22">
        <f>IF(F14="","",TODAY()-F14)</f>
        <v/>
      </c>
      <c r="H14" s="20" t="inlineStr"/>
      <c r="I14" s="24" t="inlineStr"/>
      <c r="J14" s="20" t="inlineStr"/>
      <c r="K14" s="24" t="inlineStr"/>
      <c r="L14" s="24" t="inlineStr"/>
      <c r="M14" s="20" t="inlineStr"/>
      <c r="N14" s="29" t="inlineStr"/>
      <c r="O14" s="20" t="inlineStr"/>
      <c r="P14" s="24" t="inlineStr"/>
      <c r="Q14" s="20" t="inlineStr"/>
    </row>
    <row r="15">
      <c r="A15" s="20" t="inlineStr"/>
      <c r="B15" s="20" t="inlineStr"/>
      <c r="C15" s="20" t="inlineStr"/>
      <c r="D15" s="20" t="inlineStr"/>
      <c r="E15" s="20" t="inlineStr"/>
      <c r="F15" s="24" t="inlineStr"/>
      <c r="G15" s="22">
        <f>IF(F15="","",TODAY()-F15)</f>
        <v/>
      </c>
      <c r="H15" s="20" t="inlineStr"/>
      <c r="I15" s="24" t="inlineStr"/>
      <c r="J15" s="20" t="inlineStr"/>
      <c r="K15" s="24" t="inlineStr"/>
      <c r="L15" s="24" t="inlineStr"/>
      <c r="M15" s="20" t="inlineStr"/>
      <c r="N15" s="29" t="inlineStr"/>
      <c r="O15" s="20" t="inlineStr"/>
      <c r="P15" s="24" t="inlineStr"/>
      <c r="Q15" s="20" t="inlineStr"/>
    </row>
    <row r="16">
      <c r="A16" s="20" t="inlineStr"/>
      <c r="B16" s="20" t="inlineStr"/>
      <c r="C16" s="20" t="inlineStr"/>
      <c r="D16" s="20" t="inlineStr"/>
      <c r="E16" s="20" t="inlineStr"/>
      <c r="F16" s="24" t="inlineStr"/>
      <c r="G16" s="22">
        <f>IF(F16="","",TODAY()-F16)</f>
        <v/>
      </c>
      <c r="H16" s="20" t="inlineStr"/>
      <c r="I16" s="24" t="inlineStr"/>
      <c r="J16" s="20" t="inlineStr"/>
      <c r="K16" s="24" t="inlineStr"/>
      <c r="L16" s="24" t="inlineStr"/>
      <c r="M16" s="20" t="inlineStr"/>
      <c r="N16" s="29" t="inlineStr"/>
      <c r="O16" s="20" t="inlineStr"/>
      <c r="P16" s="24" t="inlineStr"/>
      <c r="Q16" s="20" t="inlineStr"/>
    </row>
    <row r="17">
      <c r="A17" s="20" t="inlineStr"/>
      <c r="B17" s="20" t="inlineStr"/>
      <c r="C17" s="20" t="inlineStr"/>
      <c r="D17" s="20" t="inlineStr"/>
      <c r="E17" s="20" t="inlineStr"/>
      <c r="F17" s="24" t="inlineStr"/>
      <c r="G17" s="22">
        <f>IF(F17="","",TODAY()-F17)</f>
        <v/>
      </c>
      <c r="H17" s="20" t="inlineStr"/>
      <c r="I17" s="24" t="inlineStr"/>
      <c r="J17" s="20" t="inlineStr"/>
      <c r="K17" s="24" t="inlineStr"/>
      <c r="L17" s="24" t="inlineStr"/>
      <c r="M17" s="20" t="inlineStr"/>
      <c r="N17" s="29" t="inlineStr"/>
      <c r="O17" s="20" t="inlineStr"/>
      <c r="P17" s="24" t="inlineStr"/>
      <c r="Q17" s="20" t="inlineStr"/>
    </row>
    <row r="18">
      <c r="A18" s="20" t="inlineStr"/>
      <c r="B18" s="20" t="inlineStr"/>
      <c r="C18" s="20" t="inlineStr"/>
      <c r="D18" s="20" t="inlineStr"/>
      <c r="E18" s="20" t="inlineStr"/>
      <c r="F18" s="24" t="inlineStr"/>
      <c r="G18" s="22">
        <f>IF(F18="","",TODAY()-F18)</f>
        <v/>
      </c>
      <c r="H18" s="20" t="inlineStr"/>
      <c r="I18" s="24" t="inlineStr"/>
      <c r="J18" s="20" t="inlineStr"/>
      <c r="K18" s="24" t="inlineStr"/>
      <c r="L18" s="24" t="inlineStr"/>
      <c r="M18" s="20" t="inlineStr"/>
      <c r="N18" s="29" t="inlineStr"/>
      <c r="O18" s="20" t="inlineStr"/>
      <c r="P18" s="24" t="inlineStr"/>
      <c r="Q18" s="20" t="inlineStr"/>
    </row>
    <row r="19">
      <c r="A19" s="20" t="inlineStr"/>
      <c r="B19" s="20" t="inlineStr"/>
      <c r="C19" s="20" t="inlineStr"/>
      <c r="D19" s="20" t="inlineStr"/>
      <c r="E19" s="20" t="inlineStr"/>
      <c r="F19" s="24" t="inlineStr"/>
      <c r="G19" s="22">
        <f>IF(F19="","",TODAY()-F19)</f>
        <v/>
      </c>
      <c r="H19" s="20" t="inlineStr"/>
      <c r="I19" s="24" t="inlineStr"/>
      <c r="J19" s="20" t="inlineStr"/>
      <c r="K19" s="24" t="inlineStr"/>
      <c r="L19" s="24" t="inlineStr"/>
      <c r="M19" s="20" t="inlineStr"/>
      <c r="N19" s="29" t="inlineStr"/>
      <c r="O19" s="20" t="inlineStr"/>
      <c r="P19" s="24" t="inlineStr"/>
      <c r="Q19" s="20" t="inlineStr"/>
    </row>
    <row r="20">
      <c r="A20" s="20" t="inlineStr"/>
      <c r="B20" s="20" t="inlineStr"/>
      <c r="C20" s="20" t="inlineStr"/>
      <c r="D20" s="20" t="inlineStr"/>
      <c r="E20" s="20" t="inlineStr"/>
      <c r="F20" s="24" t="inlineStr"/>
      <c r="G20" s="22">
        <f>IF(F20="","",TODAY()-F20)</f>
        <v/>
      </c>
      <c r="H20" s="20" t="inlineStr"/>
      <c r="I20" s="24" t="inlineStr"/>
      <c r="J20" s="20" t="inlineStr"/>
      <c r="K20" s="24" t="inlineStr"/>
      <c r="L20" s="24" t="inlineStr"/>
      <c r="M20" s="20" t="inlineStr"/>
      <c r="N20" s="29" t="inlineStr"/>
      <c r="O20" s="20" t="inlineStr"/>
      <c r="P20" s="24" t="inlineStr"/>
      <c r="Q20" s="20" t="inlineStr"/>
    </row>
    <row r="21">
      <c r="A21" s="20" t="inlineStr"/>
      <c r="B21" s="20" t="inlineStr"/>
      <c r="C21" s="20" t="inlineStr"/>
      <c r="D21" s="20" t="inlineStr"/>
      <c r="E21" s="20" t="inlineStr"/>
      <c r="F21" s="24" t="inlineStr"/>
      <c r="G21" s="22">
        <f>IF(F21="","",TODAY()-F21)</f>
        <v/>
      </c>
      <c r="H21" s="20" t="inlineStr"/>
      <c r="I21" s="24" t="inlineStr"/>
      <c r="J21" s="20" t="inlineStr"/>
      <c r="K21" s="24" t="inlineStr"/>
      <c r="L21" s="24" t="inlineStr"/>
      <c r="M21" s="20" t="inlineStr"/>
      <c r="N21" s="29" t="inlineStr"/>
      <c r="O21" s="20" t="inlineStr"/>
      <c r="P21" s="24" t="inlineStr"/>
      <c r="Q21" s="20" t="inlineStr"/>
    </row>
    <row r="22">
      <c r="A22" s="20" t="inlineStr"/>
      <c r="B22" s="20" t="inlineStr"/>
      <c r="C22" s="20" t="inlineStr"/>
      <c r="D22" s="20" t="inlineStr"/>
      <c r="E22" s="20" t="inlineStr"/>
      <c r="F22" s="24" t="inlineStr"/>
      <c r="G22" s="22">
        <f>IF(F22="","",TODAY()-F22)</f>
        <v/>
      </c>
      <c r="H22" s="20" t="inlineStr"/>
      <c r="I22" s="24" t="inlineStr"/>
      <c r="J22" s="20" t="inlineStr"/>
      <c r="K22" s="24" t="inlineStr"/>
      <c r="L22" s="24" t="inlineStr"/>
      <c r="M22" s="20" t="inlineStr"/>
      <c r="N22" s="29" t="inlineStr"/>
      <c r="O22" s="20" t="inlineStr"/>
      <c r="P22" s="24" t="inlineStr"/>
      <c r="Q22" s="20" t="inlineStr"/>
    </row>
    <row r="23">
      <c r="A23" s="20" t="inlineStr"/>
      <c r="B23" s="20" t="inlineStr"/>
      <c r="C23" s="20" t="inlineStr"/>
      <c r="D23" s="20" t="inlineStr"/>
      <c r="E23" s="20" t="inlineStr"/>
      <c r="F23" s="24" t="inlineStr"/>
      <c r="G23" s="22">
        <f>IF(F23="","",TODAY()-F23)</f>
        <v/>
      </c>
      <c r="H23" s="20" t="inlineStr"/>
      <c r="I23" s="24" t="inlineStr"/>
      <c r="J23" s="20" t="inlineStr"/>
      <c r="K23" s="24" t="inlineStr"/>
      <c r="L23" s="24" t="inlineStr"/>
      <c r="M23" s="20" t="inlineStr"/>
      <c r="N23" s="29" t="inlineStr"/>
      <c r="O23" s="20" t="inlineStr"/>
      <c r="P23" s="24" t="inlineStr"/>
      <c r="Q23" s="20" t="inlineStr"/>
    </row>
    <row r="24">
      <c r="A24" s="20" t="inlineStr"/>
      <c r="B24" s="20" t="inlineStr"/>
      <c r="C24" s="20" t="inlineStr"/>
      <c r="D24" s="20" t="inlineStr"/>
      <c r="E24" s="20" t="inlineStr"/>
      <c r="F24" s="24" t="inlineStr"/>
      <c r="G24" s="22">
        <f>IF(F24="","",TODAY()-F24)</f>
        <v/>
      </c>
      <c r="H24" s="20" t="inlineStr"/>
      <c r="I24" s="24" t="inlineStr"/>
      <c r="J24" s="20" t="inlineStr"/>
      <c r="K24" s="24" t="inlineStr"/>
      <c r="L24" s="24" t="inlineStr"/>
      <c r="M24" s="20" t="inlineStr"/>
      <c r="N24" s="29" t="inlineStr"/>
      <c r="O24" s="20" t="inlineStr"/>
      <c r="P24" s="24" t="inlineStr"/>
      <c r="Q24" s="20" t="inlineStr"/>
    </row>
    <row r="25">
      <c r="A25" s="20" t="inlineStr"/>
      <c r="B25" s="20" t="inlineStr"/>
      <c r="C25" s="20" t="inlineStr"/>
      <c r="D25" s="20" t="inlineStr"/>
      <c r="E25" s="20" t="inlineStr"/>
      <c r="F25" s="24" t="inlineStr"/>
      <c r="G25" s="22">
        <f>IF(F25="","",TODAY()-F25)</f>
        <v/>
      </c>
      <c r="H25" s="20" t="inlineStr"/>
      <c r="I25" s="24" t="inlineStr"/>
      <c r="J25" s="20" t="inlineStr"/>
      <c r="K25" s="24" t="inlineStr"/>
      <c r="L25" s="24" t="inlineStr"/>
      <c r="M25" s="20" t="inlineStr"/>
      <c r="N25" s="29" t="inlineStr"/>
      <c r="O25" s="20" t="inlineStr"/>
      <c r="P25" s="24" t="inlineStr"/>
      <c r="Q25" s="20" t="inlineStr"/>
    </row>
    <row r="26">
      <c r="A26" s="20" t="inlineStr"/>
      <c r="B26" s="20" t="inlineStr"/>
      <c r="C26" s="20" t="inlineStr"/>
      <c r="D26" s="20" t="inlineStr"/>
      <c r="E26" s="20" t="inlineStr"/>
      <c r="F26" s="24" t="inlineStr"/>
      <c r="G26" s="22">
        <f>IF(F26="","",TODAY()-F26)</f>
        <v/>
      </c>
      <c r="H26" s="20" t="inlineStr"/>
      <c r="I26" s="24" t="inlineStr"/>
      <c r="J26" s="20" t="inlineStr"/>
      <c r="K26" s="24" t="inlineStr"/>
      <c r="L26" s="24" t="inlineStr"/>
      <c r="M26" s="20" t="inlineStr"/>
      <c r="N26" s="29" t="inlineStr"/>
      <c r="O26" s="20" t="inlineStr"/>
      <c r="P26" s="24" t="inlineStr"/>
      <c r="Q26" s="20" t="inlineStr"/>
    </row>
    <row r="27">
      <c r="A27" s="20" t="inlineStr"/>
      <c r="B27" s="20" t="inlineStr"/>
      <c r="C27" s="20" t="inlineStr"/>
      <c r="D27" s="20" t="inlineStr"/>
      <c r="E27" s="20" t="inlineStr"/>
      <c r="F27" s="24" t="inlineStr"/>
      <c r="G27" s="22">
        <f>IF(F27="","",TODAY()-F27)</f>
        <v/>
      </c>
      <c r="H27" s="20" t="inlineStr"/>
      <c r="I27" s="24" t="inlineStr"/>
      <c r="J27" s="20" t="inlineStr"/>
      <c r="K27" s="24" t="inlineStr"/>
      <c r="L27" s="24" t="inlineStr"/>
      <c r="M27" s="20" t="inlineStr"/>
      <c r="N27" s="29" t="inlineStr"/>
      <c r="O27" s="20" t="inlineStr"/>
      <c r="P27" s="24" t="inlineStr"/>
      <c r="Q27" s="20" t="inlineStr"/>
    </row>
    <row r="28">
      <c r="A28" s="20" t="inlineStr"/>
      <c r="B28" s="20" t="inlineStr"/>
      <c r="C28" s="20" t="inlineStr"/>
      <c r="D28" s="20" t="inlineStr"/>
      <c r="E28" s="20" t="inlineStr"/>
      <c r="F28" s="24" t="inlineStr"/>
      <c r="G28" s="22">
        <f>IF(F28="","",TODAY()-F28)</f>
        <v/>
      </c>
      <c r="H28" s="20" t="inlineStr"/>
      <c r="I28" s="24" t="inlineStr"/>
      <c r="J28" s="20" t="inlineStr"/>
      <c r="K28" s="24" t="inlineStr"/>
      <c r="L28" s="24" t="inlineStr"/>
      <c r="M28" s="20" t="inlineStr"/>
      <c r="N28" s="29" t="inlineStr"/>
      <c r="O28" s="20" t="inlineStr"/>
      <c r="P28" s="24" t="inlineStr"/>
      <c r="Q28" s="20" t="inlineStr"/>
    </row>
    <row r="29">
      <c r="A29" s="20" t="inlineStr"/>
      <c r="B29" s="20" t="inlineStr"/>
      <c r="C29" s="20" t="inlineStr"/>
      <c r="D29" s="20" t="inlineStr"/>
      <c r="E29" s="20" t="inlineStr"/>
      <c r="F29" s="24" t="inlineStr"/>
      <c r="G29" s="22">
        <f>IF(F29="","",TODAY()-F29)</f>
        <v/>
      </c>
      <c r="H29" s="20" t="inlineStr"/>
      <c r="I29" s="24" t="inlineStr"/>
      <c r="J29" s="20" t="inlineStr"/>
      <c r="K29" s="24" t="inlineStr"/>
      <c r="L29" s="24" t="inlineStr"/>
      <c r="M29" s="20" t="inlineStr"/>
      <c r="N29" s="29" t="inlineStr"/>
      <c r="O29" s="20" t="inlineStr"/>
      <c r="P29" s="24" t="inlineStr"/>
      <c r="Q29" s="20" t="inlineStr"/>
    </row>
    <row r="30">
      <c r="A30" s="20" t="inlineStr"/>
      <c r="B30" s="20" t="inlineStr"/>
      <c r="C30" s="20" t="inlineStr"/>
      <c r="D30" s="20" t="inlineStr"/>
      <c r="E30" s="20" t="inlineStr"/>
      <c r="F30" s="24" t="inlineStr"/>
      <c r="G30" s="22">
        <f>IF(F30="","",TODAY()-F30)</f>
        <v/>
      </c>
      <c r="H30" s="20" t="inlineStr"/>
      <c r="I30" s="24" t="inlineStr"/>
      <c r="J30" s="20" t="inlineStr"/>
      <c r="K30" s="24" t="inlineStr"/>
      <c r="L30" s="24" t="inlineStr"/>
      <c r="M30" s="20" t="inlineStr"/>
      <c r="N30" s="29" t="inlineStr"/>
      <c r="O30" s="20" t="inlineStr"/>
      <c r="P30" s="24" t="inlineStr"/>
      <c r="Q30" s="20" t="inlineStr"/>
    </row>
    <row r="31">
      <c r="A31" s="20" t="inlineStr"/>
      <c r="B31" s="20" t="inlineStr"/>
      <c r="C31" s="20" t="inlineStr"/>
      <c r="D31" s="20" t="inlineStr"/>
      <c r="E31" s="20" t="inlineStr"/>
      <c r="F31" s="24" t="inlineStr"/>
      <c r="G31" s="22">
        <f>IF(F31="","",TODAY()-F31)</f>
        <v/>
      </c>
      <c r="H31" s="20" t="inlineStr"/>
      <c r="I31" s="24" t="inlineStr"/>
      <c r="J31" s="20" t="inlineStr"/>
      <c r="K31" s="24" t="inlineStr"/>
      <c r="L31" s="24" t="inlineStr"/>
      <c r="M31" s="20" t="inlineStr"/>
      <c r="N31" s="29" t="inlineStr"/>
      <c r="O31" s="20" t="inlineStr"/>
      <c r="P31" s="24" t="inlineStr"/>
      <c r="Q31" s="20" t="inlineStr"/>
    </row>
    <row r="32">
      <c r="A32" s="20" t="inlineStr"/>
      <c r="B32" s="20" t="inlineStr"/>
      <c r="C32" s="20" t="inlineStr"/>
      <c r="D32" s="20" t="inlineStr"/>
      <c r="E32" s="20" t="inlineStr"/>
      <c r="F32" s="24" t="inlineStr"/>
      <c r="G32" s="22">
        <f>IF(F32="","",TODAY()-F32)</f>
        <v/>
      </c>
      <c r="H32" s="20" t="inlineStr"/>
      <c r="I32" s="24" t="inlineStr"/>
      <c r="J32" s="20" t="inlineStr"/>
      <c r="K32" s="24" t="inlineStr"/>
      <c r="L32" s="24" t="inlineStr"/>
      <c r="M32" s="20" t="inlineStr"/>
      <c r="N32" s="29" t="inlineStr"/>
      <c r="O32" s="20" t="inlineStr"/>
      <c r="P32" s="24" t="inlineStr"/>
      <c r="Q32" s="20" t="inlineStr"/>
    </row>
    <row r="33">
      <c r="A33" s="20" t="inlineStr"/>
      <c r="B33" s="20" t="inlineStr"/>
      <c r="C33" s="20" t="inlineStr"/>
      <c r="D33" s="20" t="inlineStr"/>
      <c r="E33" s="20" t="inlineStr"/>
      <c r="F33" s="24" t="inlineStr"/>
      <c r="G33" s="22">
        <f>IF(F33="","",TODAY()-F33)</f>
        <v/>
      </c>
      <c r="H33" s="20" t="inlineStr"/>
      <c r="I33" s="24" t="inlineStr"/>
      <c r="J33" s="20" t="inlineStr"/>
      <c r="K33" s="24" t="inlineStr"/>
      <c r="L33" s="24" t="inlineStr"/>
      <c r="M33" s="20" t="inlineStr"/>
      <c r="N33" s="29" t="inlineStr"/>
      <c r="O33" s="20" t="inlineStr"/>
      <c r="P33" s="24" t="inlineStr"/>
      <c r="Q33" s="20" t="inlineStr"/>
    </row>
    <row r="34">
      <c r="A34" s="20" t="inlineStr"/>
      <c r="B34" s="20" t="inlineStr"/>
      <c r="C34" s="20" t="inlineStr"/>
      <c r="D34" s="20" t="inlineStr"/>
      <c r="E34" s="20" t="inlineStr"/>
      <c r="F34" s="24" t="inlineStr"/>
      <c r="G34" s="22">
        <f>IF(F34="","",TODAY()-F34)</f>
        <v/>
      </c>
      <c r="H34" s="20" t="inlineStr"/>
      <c r="I34" s="24" t="inlineStr"/>
      <c r="J34" s="20" t="inlineStr"/>
      <c r="K34" s="24" t="inlineStr"/>
      <c r="L34" s="24" t="inlineStr"/>
      <c r="M34" s="20" t="inlineStr"/>
      <c r="N34" s="29" t="inlineStr"/>
      <c r="O34" s="20" t="inlineStr"/>
      <c r="P34" s="24" t="inlineStr"/>
      <c r="Q34" s="20" t="inlineStr"/>
    </row>
    <row r="35">
      <c r="A35" s="20" t="inlineStr"/>
      <c r="B35" s="20" t="inlineStr"/>
      <c r="C35" s="20" t="inlineStr"/>
      <c r="D35" s="20" t="inlineStr"/>
      <c r="E35" s="20" t="inlineStr"/>
      <c r="F35" s="24" t="inlineStr"/>
      <c r="G35" s="22">
        <f>IF(F35="","",TODAY()-F35)</f>
        <v/>
      </c>
      <c r="H35" s="20" t="inlineStr"/>
      <c r="I35" s="24" t="inlineStr"/>
      <c r="J35" s="20" t="inlineStr"/>
      <c r="K35" s="24" t="inlineStr"/>
      <c r="L35" s="24" t="inlineStr"/>
      <c r="M35" s="20" t="inlineStr"/>
      <c r="N35" s="29" t="inlineStr"/>
      <c r="O35" s="20" t="inlineStr"/>
      <c r="P35" s="24" t="inlineStr"/>
      <c r="Q35" s="20" t="inlineStr"/>
    </row>
    <row r="36">
      <c r="A36" s="20" t="inlineStr"/>
      <c r="B36" s="20" t="inlineStr"/>
      <c r="C36" s="20" t="inlineStr"/>
      <c r="D36" s="20" t="inlineStr"/>
      <c r="E36" s="20" t="inlineStr"/>
      <c r="F36" s="24" t="inlineStr"/>
      <c r="G36" s="22">
        <f>IF(F36="","",TODAY()-F36)</f>
        <v/>
      </c>
      <c r="H36" s="20" t="inlineStr"/>
      <c r="I36" s="24" t="inlineStr"/>
      <c r="J36" s="20" t="inlineStr"/>
      <c r="K36" s="24" t="inlineStr"/>
      <c r="L36" s="24" t="inlineStr"/>
      <c r="M36" s="20" t="inlineStr"/>
      <c r="N36" s="29" t="inlineStr"/>
      <c r="O36" s="20" t="inlineStr"/>
      <c r="P36" s="24" t="inlineStr"/>
      <c r="Q36" s="20" t="inlineStr"/>
    </row>
    <row r="37">
      <c r="A37" s="20" t="inlineStr"/>
      <c r="B37" s="20" t="inlineStr"/>
      <c r="C37" s="20" t="inlineStr"/>
      <c r="D37" s="20" t="inlineStr"/>
      <c r="E37" s="20" t="inlineStr"/>
      <c r="F37" s="24" t="inlineStr"/>
      <c r="G37" s="22">
        <f>IF(F37="","",TODAY()-F37)</f>
        <v/>
      </c>
      <c r="H37" s="20" t="inlineStr"/>
      <c r="I37" s="24" t="inlineStr"/>
      <c r="J37" s="20" t="inlineStr"/>
      <c r="K37" s="24" t="inlineStr"/>
      <c r="L37" s="24" t="inlineStr"/>
      <c r="M37" s="20" t="inlineStr"/>
      <c r="N37" s="29" t="inlineStr"/>
      <c r="O37" s="20" t="inlineStr"/>
      <c r="P37" s="24" t="inlineStr"/>
      <c r="Q37" s="20" t="inlineStr"/>
    </row>
    <row r="38">
      <c r="A38" s="20" t="inlineStr"/>
      <c r="B38" s="20" t="inlineStr"/>
      <c r="C38" s="20" t="inlineStr"/>
      <c r="D38" s="20" t="inlineStr"/>
      <c r="E38" s="20" t="inlineStr"/>
      <c r="F38" s="24" t="inlineStr"/>
      <c r="G38" s="22">
        <f>IF(F38="","",TODAY()-F38)</f>
        <v/>
      </c>
      <c r="H38" s="20" t="inlineStr"/>
      <c r="I38" s="24" t="inlineStr"/>
      <c r="J38" s="20" t="inlineStr"/>
      <c r="K38" s="24" t="inlineStr"/>
      <c r="L38" s="24" t="inlineStr"/>
      <c r="M38" s="20" t="inlineStr"/>
      <c r="N38" s="29" t="inlineStr"/>
      <c r="O38" s="20" t="inlineStr"/>
      <c r="P38" s="24" t="inlineStr"/>
      <c r="Q38" s="20" t="inlineStr"/>
    </row>
    <row r="39">
      <c r="A39" s="20" t="inlineStr"/>
      <c r="B39" s="20" t="inlineStr"/>
      <c r="C39" s="20" t="inlineStr"/>
      <c r="D39" s="20" t="inlineStr"/>
      <c r="E39" s="20" t="inlineStr"/>
      <c r="F39" s="24" t="inlineStr"/>
      <c r="G39" s="22">
        <f>IF(F39="","",TODAY()-F39)</f>
        <v/>
      </c>
      <c r="H39" s="20" t="inlineStr"/>
      <c r="I39" s="24" t="inlineStr"/>
      <c r="J39" s="20" t="inlineStr"/>
      <c r="K39" s="24" t="inlineStr"/>
      <c r="L39" s="24" t="inlineStr"/>
      <c r="M39" s="20" t="inlineStr"/>
      <c r="N39" s="29" t="inlineStr"/>
      <c r="O39" s="20" t="inlineStr"/>
      <c r="P39" s="24" t="inlineStr"/>
      <c r="Q39" s="20" t="inlineStr"/>
    </row>
    <row r="40">
      <c r="A40" s="20" t="inlineStr"/>
      <c r="B40" s="20" t="inlineStr"/>
      <c r="C40" s="20" t="inlineStr"/>
      <c r="D40" s="20" t="inlineStr"/>
      <c r="E40" s="20" t="inlineStr"/>
      <c r="F40" s="24" t="inlineStr"/>
      <c r="G40" s="22">
        <f>IF(F40="","",TODAY()-F40)</f>
        <v/>
      </c>
      <c r="H40" s="20" t="inlineStr"/>
      <c r="I40" s="24" t="inlineStr"/>
      <c r="J40" s="20" t="inlineStr"/>
      <c r="K40" s="24" t="inlineStr"/>
      <c r="L40" s="24" t="inlineStr"/>
      <c r="M40" s="20" t="inlineStr"/>
      <c r="N40" s="29" t="inlineStr"/>
      <c r="O40" s="20" t="inlineStr"/>
      <c r="P40" s="24" t="inlineStr"/>
      <c r="Q40" s="20" t="inlineStr"/>
    </row>
    <row r="41">
      <c r="A41" s="20" t="inlineStr"/>
      <c r="B41" s="20" t="inlineStr"/>
      <c r="C41" s="20" t="inlineStr"/>
      <c r="D41" s="20" t="inlineStr"/>
      <c r="E41" s="20" t="inlineStr"/>
      <c r="F41" s="24" t="inlineStr"/>
      <c r="G41" s="22">
        <f>IF(F41="","",TODAY()-F41)</f>
        <v/>
      </c>
      <c r="H41" s="20" t="inlineStr"/>
      <c r="I41" s="24" t="inlineStr"/>
      <c r="J41" s="20" t="inlineStr"/>
      <c r="K41" s="24" t="inlineStr"/>
      <c r="L41" s="24" t="inlineStr"/>
      <c r="M41" s="20" t="inlineStr"/>
      <c r="N41" s="29" t="inlineStr"/>
      <c r="O41" s="20" t="inlineStr"/>
      <c r="P41" s="24" t="inlineStr"/>
      <c r="Q41" s="20" t="inlineStr"/>
    </row>
    <row r="42">
      <c r="A42" s="20" t="inlineStr"/>
      <c r="B42" s="20" t="inlineStr"/>
      <c r="C42" s="20" t="inlineStr"/>
      <c r="D42" s="20" t="inlineStr"/>
      <c r="E42" s="20" t="inlineStr"/>
      <c r="F42" s="24" t="inlineStr"/>
      <c r="G42" s="22">
        <f>IF(F42="","",TODAY()-F42)</f>
        <v/>
      </c>
      <c r="H42" s="20" t="inlineStr"/>
      <c r="I42" s="24" t="inlineStr"/>
      <c r="J42" s="20" t="inlineStr"/>
      <c r="K42" s="24" t="inlineStr"/>
      <c r="L42" s="24" t="inlineStr"/>
      <c r="M42" s="20" t="inlineStr"/>
      <c r="N42" s="29" t="inlineStr"/>
      <c r="O42" s="20" t="inlineStr"/>
      <c r="P42" s="24" t="inlineStr"/>
      <c r="Q42" s="20" t="inlineStr"/>
    </row>
    <row r="43">
      <c r="A43" s="20" t="inlineStr"/>
      <c r="B43" s="20" t="inlineStr"/>
      <c r="C43" s="20" t="inlineStr"/>
      <c r="D43" s="20" t="inlineStr"/>
      <c r="E43" s="20" t="inlineStr"/>
      <c r="F43" s="24" t="inlineStr"/>
      <c r="G43" s="22">
        <f>IF(F43="","",TODAY()-F43)</f>
        <v/>
      </c>
      <c r="H43" s="20" t="inlineStr"/>
      <c r="I43" s="24" t="inlineStr"/>
      <c r="J43" s="20" t="inlineStr"/>
      <c r="K43" s="24" t="inlineStr"/>
      <c r="L43" s="24" t="inlineStr"/>
      <c r="M43" s="20" t="inlineStr"/>
      <c r="N43" s="29" t="inlineStr"/>
      <c r="O43" s="20" t="inlineStr"/>
      <c r="P43" s="24" t="inlineStr"/>
      <c r="Q43" s="20" t="inlineStr"/>
    </row>
    <row r="44">
      <c r="A44" s="20" t="inlineStr"/>
      <c r="B44" s="20" t="inlineStr"/>
      <c r="C44" s="20" t="inlineStr"/>
      <c r="D44" s="20" t="inlineStr"/>
      <c r="E44" s="20" t="inlineStr"/>
      <c r="F44" s="24" t="inlineStr"/>
      <c r="G44" s="22">
        <f>IF(F44="","",TODAY()-F44)</f>
        <v/>
      </c>
      <c r="H44" s="20" t="inlineStr"/>
      <c r="I44" s="24" t="inlineStr"/>
      <c r="J44" s="20" t="inlineStr"/>
      <c r="K44" s="24" t="inlineStr"/>
      <c r="L44" s="24" t="inlineStr"/>
      <c r="M44" s="20" t="inlineStr"/>
      <c r="N44" s="29" t="inlineStr"/>
      <c r="O44" s="20" t="inlineStr"/>
      <c r="P44" s="24" t="inlineStr"/>
      <c r="Q44" s="20" t="inlineStr"/>
    </row>
    <row r="45">
      <c r="A45" s="20" t="inlineStr"/>
      <c r="B45" s="20" t="inlineStr"/>
      <c r="C45" s="20" t="inlineStr"/>
      <c r="D45" s="20" t="inlineStr"/>
      <c r="E45" s="20" t="inlineStr"/>
      <c r="F45" s="24" t="inlineStr"/>
      <c r="G45" s="22">
        <f>IF(F45="","",TODAY()-F45)</f>
        <v/>
      </c>
      <c r="H45" s="20" t="inlineStr"/>
      <c r="I45" s="24" t="inlineStr"/>
      <c r="J45" s="20" t="inlineStr"/>
      <c r="K45" s="24" t="inlineStr"/>
      <c r="L45" s="24" t="inlineStr"/>
      <c r="M45" s="20" t="inlineStr"/>
      <c r="N45" s="29" t="inlineStr"/>
      <c r="O45" s="20" t="inlineStr"/>
      <c r="P45" s="24" t="inlineStr"/>
      <c r="Q45" s="20" t="inlineStr"/>
    </row>
    <row r="46">
      <c r="A46" s="20" t="inlineStr"/>
      <c r="B46" s="20" t="inlineStr"/>
      <c r="C46" s="20" t="inlineStr"/>
      <c r="D46" s="20" t="inlineStr"/>
      <c r="E46" s="20" t="inlineStr"/>
      <c r="F46" s="24" t="inlineStr"/>
      <c r="G46" s="22">
        <f>IF(F46="","",TODAY()-F46)</f>
        <v/>
      </c>
      <c r="H46" s="20" t="inlineStr"/>
      <c r="I46" s="24" t="inlineStr"/>
      <c r="J46" s="20" t="inlineStr"/>
      <c r="K46" s="24" t="inlineStr"/>
      <c r="L46" s="24" t="inlineStr"/>
      <c r="M46" s="20" t="inlineStr"/>
      <c r="N46" s="29" t="inlineStr"/>
      <c r="O46" s="20" t="inlineStr"/>
      <c r="P46" s="24" t="inlineStr"/>
      <c r="Q46" s="20" t="inlineStr"/>
    </row>
    <row r="47">
      <c r="A47" s="20" t="inlineStr"/>
      <c r="B47" s="20" t="inlineStr"/>
      <c r="C47" s="20" t="inlineStr"/>
      <c r="D47" s="20" t="inlineStr"/>
      <c r="E47" s="20" t="inlineStr"/>
      <c r="F47" s="24" t="inlineStr"/>
      <c r="G47" s="22">
        <f>IF(F47="","",TODAY()-F47)</f>
        <v/>
      </c>
      <c r="H47" s="20" t="inlineStr"/>
      <c r="I47" s="24" t="inlineStr"/>
      <c r="J47" s="20" t="inlineStr"/>
      <c r="K47" s="24" t="inlineStr"/>
      <c r="L47" s="24" t="inlineStr"/>
      <c r="M47" s="20" t="inlineStr"/>
      <c r="N47" s="29" t="inlineStr"/>
      <c r="O47" s="20" t="inlineStr"/>
      <c r="P47" s="24" t="inlineStr"/>
      <c r="Q47" s="20" t="inlineStr"/>
    </row>
    <row r="48">
      <c r="A48" s="20" t="inlineStr"/>
      <c r="B48" s="20" t="inlineStr"/>
      <c r="C48" s="20" t="inlineStr"/>
      <c r="D48" s="20" t="inlineStr"/>
      <c r="E48" s="20" t="inlineStr"/>
      <c r="F48" s="24" t="inlineStr"/>
      <c r="G48" s="22">
        <f>IF(F48="","",TODAY()-F48)</f>
        <v/>
      </c>
      <c r="H48" s="20" t="inlineStr"/>
      <c r="I48" s="24" t="inlineStr"/>
      <c r="J48" s="20" t="inlineStr"/>
      <c r="K48" s="24" t="inlineStr"/>
      <c r="L48" s="24" t="inlineStr"/>
      <c r="M48" s="20" t="inlineStr"/>
      <c r="N48" s="29" t="inlineStr"/>
      <c r="O48" s="20" t="inlineStr"/>
      <c r="P48" s="24" t="inlineStr"/>
      <c r="Q48" s="20" t="inlineStr"/>
    </row>
    <row r="49">
      <c r="A49" s="20" t="inlineStr"/>
      <c r="B49" s="20" t="inlineStr"/>
      <c r="C49" s="20" t="inlineStr"/>
      <c r="D49" s="20" t="inlineStr"/>
      <c r="E49" s="20" t="inlineStr"/>
      <c r="F49" s="24" t="inlineStr"/>
      <c r="G49" s="22">
        <f>IF(F49="","",TODAY()-F49)</f>
        <v/>
      </c>
      <c r="H49" s="20" t="inlineStr"/>
      <c r="I49" s="24" t="inlineStr"/>
      <c r="J49" s="20" t="inlineStr"/>
      <c r="K49" s="24" t="inlineStr"/>
      <c r="L49" s="24" t="inlineStr"/>
      <c r="M49" s="20" t="inlineStr"/>
      <c r="N49" s="29" t="inlineStr"/>
      <c r="O49" s="20" t="inlineStr"/>
      <c r="P49" s="24" t="inlineStr"/>
      <c r="Q49" s="20" t="inlineStr"/>
    </row>
    <row r="50">
      <c r="A50" s="20" t="inlineStr"/>
      <c r="B50" s="20" t="inlineStr"/>
      <c r="C50" s="20" t="inlineStr"/>
      <c r="D50" s="20" t="inlineStr"/>
      <c r="E50" s="20" t="inlineStr"/>
      <c r="F50" s="24" t="inlineStr"/>
      <c r="G50" s="22">
        <f>IF(F50="","",TODAY()-F50)</f>
        <v/>
      </c>
      <c r="H50" s="20" t="inlineStr"/>
      <c r="I50" s="24" t="inlineStr"/>
      <c r="J50" s="20" t="inlineStr"/>
      <c r="K50" s="24" t="inlineStr"/>
      <c r="L50" s="24" t="inlineStr"/>
      <c r="M50" s="20" t="inlineStr"/>
      <c r="N50" s="29" t="inlineStr"/>
      <c r="O50" s="20" t="inlineStr"/>
      <c r="P50" s="24" t="inlineStr"/>
      <c r="Q50" s="20" t="inlineStr"/>
    </row>
    <row r="52">
      <c r="A52" s="13" t="inlineStr">
        <is>
          <t>B. Stages and exit tests — a stage moves only on its checkable event</t>
        </is>
      </c>
      <c r="B52" s="14" t="n"/>
      <c r="C52" s="14" t="n"/>
      <c r="D52" s="14" t="n"/>
      <c r="E52" s="14" t="n"/>
      <c r="F52" s="14" t="n"/>
      <c r="G52" s="14" t="n"/>
      <c r="H52" s="14" t="n"/>
      <c r="I52" s="14" t="n"/>
      <c r="J52" s="14" t="n"/>
      <c r="K52" s="14" t="n"/>
      <c r="L52" s="14" t="n"/>
      <c r="M52" s="14" t="n"/>
      <c r="N52" s="14" t="n"/>
      <c r="O52" s="14" t="n"/>
      <c r="P52" s="14" t="n"/>
      <c r="Q52" s="14" t="n"/>
    </row>
    <row r="53" ht="30" customHeight="1">
      <c r="A53" s="3" t="inlineStr">
        <is>
          <t>Stage</t>
        </is>
      </c>
      <c r="B53" s="3" t="inlineStr">
        <is>
          <t>Exit test — the checkable event</t>
        </is>
      </c>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is>
          <t>Rows here now</t>
        </is>
      </c>
    </row>
    <row r="54">
      <c r="A54" s="15" t="inlineStr">
        <is>
          <t>Target</t>
        </is>
      </c>
      <c r="B54" s="15" t="inlineStr">
        <is>
          <t>Named pump, owner, phone, source, ICP score in the Target List tab</t>
        </is>
      </c>
      <c r="C54" s="26" t="n"/>
      <c r="D54" s="26" t="n"/>
      <c r="E54" s="26" t="n"/>
      <c r="F54" s="26" t="n"/>
      <c r="G54" s="26" t="n"/>
      <c r="H54" s="26" t="n"/>
      <c r="I54" s="26" t="n"/>
      <c r="J54" s="26" t="n"/>
      <c r="K54" s="26" t="n"/>
      <c r="L54" s="26" t="n"/>
      <c r="M54" s="26" t="n"/>
      <c r="N54" s="26" t="n"/>
      <c r="O54" s="26" t="n"/>
      <c r="P54" s="27" t="n"/>
      <c r="Q54" s="30">
        <f>COUNTIF($E$6:$E$50,"Target")</f>
        <v/>
      </c>
    </row>
    <row r="55">
      <c r="A55" s="15" t="inlineStr">
        <is>
          <t>Contacted</t>
        </is>
      </c>
      <c r="B55" s="15" t="inlineStr">
        <is>
          <t>A TWO-WAY exchange. A broadcast is not contact</t>
        </is>
      </c>
      <c r="C55" s="26" t="n"/>
      <c r="D55" s="26" t="n"/>
      <c r="E55" s="26" t="n"/>
      <c r="F55" s="26" t="n"/>
      <c r="G55" s="26" t="n"/>
      <c r="H55" s="26" t="n"/>
      <c r="I55" s="26" t="n"/>
      <c r="J55" s="26" t="n"/>
      <c r="K55" s="26" t="n"/>
      <c r="L55" s="26" t="n"/>
      <c r="M55" s="26" t="n"/>
      <c r="N55" s="26" t="n"/>
      <c r="O55" s="26" t="n"/>
      <c r="P55" s="27" t="n"/>
      <c r="Q55" s="30">
        <f>COUNTIF($E$6:$E$50,"Contacted")</f>
        <v/>
      </c>
    </row>
    <row r="56">
      <c r="A56" s="15" t="inlineStr">
        <is>
          <t>Visited</t>
        </is>
      </c>
      <c r="B56" s="15" t="inlineStr">
        <is>
          <t>You stood at his pump and the OWNER was there</t>
        </is>
      </c>
      <c r="C56" s="26" t="n"/>
      <c r="D56" s="26" t="n"/>
      <c r="E56" s="26" t="n"/>
      <c r="F56" s="26" t="n"/>
      <c r="G56" s="26" t="n"/>
      <c r="H56" s="26" t="n"/>
      <c r="I56" s="26" t="n"/>
      <c r="J56" s="26" t="n"/>
      <c r="K56" s="26" t="n"/>
      <c r="L56" s="26" t="n"/>
      <c r="M56" s="26" t="n"/>
      <c r="N56" s="26" t="n"/>
      <c r="O56" s="26" t="n"/>
      <c r="P56" s="27" t="n"/>
      <c r="Q56" s="30">
        <f>COUNTIF($E$6:$E$50,"Visited")</f>
        <v/>
      </c>
    </row>
    <row r="57">
      <c r="A57" s="15" t="inlineStr">
        <is>
          <t>Demoed</t>
        </is>
      </c>
      <c r="B57" s="15" t="inlineStr">
        <is>
          <t>Ten minutes on HIS customers and HIS rupee figures, decision-maker present (M06)</t>
        </is>
      </c>
      <c r="C57" s="26" t="n"/>
      <c r="D57" s="26" t="n"/>
      <c r="E57" s="26" t="n"/>
      <c r="F57" s="26" t="n"/>
      <c r="G57" s="26" t="n"/>
      <c r="H57" s="26" t="n"/>
      <c r="I57" s="26" t="n"/>
      <c r="J57" s="26" t="n"/>
      <c r="K57" s="26" t="n"/>
      <c r="L57" s="26" t="n"/>
      <c r="M57" s="26" t="n"/>
      <c r="N57" s="26" t="n"/>
      <c r="O57" s="26" t="n"/>
      <c r="P57" s="27" t="n"/>
      <c r="Q57" s="30">
        <f>COUNTIF($E$6:$E$50,"Demoed")</f>
        <v/>
      </c>
    </row>
    <row r="58">
      <c r="A58" s="15" t="inlineStr">
        <is>
          <t>Trial started</t>
        </is>
      </c>
      <c r="B58" s="15" t="inlineStr">
        <is>
          <t>Tenant created, balances entered, start and day-14 dates in his thread</t>
        </is>
      </c>
      <c r="C58" s="26" t="n"/>
      <c r="D58" s="26" t="n"/>
      <c r="E58" s="26" t="n"/>
      <c r="F58" s="26" t="n"/>
      <c r="G58" s="26" t="n"/>
      <c r="H58" s="26" t="n"/>
      <c r="I58" s="26" t="n"/>
      <c r="J58" s="26" t="n"/>
      <c r="K58" s="26" t="n"/>
      <c r="L58" s="26" t="n"/>
      <c r="M58" s="26" t="n"/>
      <c r="N58" s="26" t="n"/>
      <c r="O58" s="26" t="n"/>
      <c r="P58" s="27" t="n"/>
      <c r="Q58" s="30">
        <f>COUNTIF($E$6:$E$50,"Trial started")</f>
        <v/>
      </c>
    </row>
    <row r="59">
      <c r="A59" s="15" t="inlineStr">
        <is>
          <t>Paying</t>
        </is>
      </c>
      <c r="B59" s="15" t="inlineStr">
        <is>
          <t>Money received against a VSYST GST invoice</t>
        </is>
      </c>
      <c r="C59" s="26" t="n"/>
      <c r="D59" s="26" t="n"/>
      <c r="E59" s="26" t="n"/>
      <c r="F59" s="26" t="n"/>
      <c r="G59" s="26" t="n"/>
      <c r="H59" s="26" t="n"/>
      <c r="I59" s="26" t="n"/>
      <c r="J59" s="26" t="n"/>
      <c r="K59" s="26" t="n"/>
      <c r="L59" s="26" t="n"/>
      <c r="M59" s="26" t="n"/>
      <c r="N59" s="26" t="n"/>
      <c r="O59" s="26" t="n"/>
      <c r="P59" s="27" t="n"/>
      <c r="Q59" s="30">
        <f>COUNTIF($E$6:$E$50,"Paying")</f>
        <v/>
      </c>
    </row>
    <row r="60">
      <c r="A60" s="15" t="inlineStr">
        <is>
          <t>Activated (both sides)</t>
        </is>
      </c>
      <c r="B60" s="15" t="inlineStr">
        <is>
          <t>≥1 customer firm linked AND ≥1 invoice within 14 days</t>
        </is>
      </c>
      <c r="C60" s="26" t="n"/>
      <c r="D60" s="26" t="n"/>
      <c r="E60" s="26" t="n"/>
      <c r="F60" s="26" t="n"/>
      <c r="G60" s="26" t="n"/>
      <c r="H60" s="26" t="n"/>
      <c r="I60" s="26" t="n"/>
      <c r="J60" s="26" t="n"/>
      <c r="K60" s="26" t="n"/>
      <c r="L60" s="26" t="n"/>
      <c r="M60" s="26" t="n"/>
      <c r="N60" s="26" t="n"/>
      <c r="O60" s="26" t="n"/>
      <c r="P60" s="27" t="n"/>
      <c r="Q60" s="30">
        <f>COUNTIF($E$6:$E$50,"Activated (both sides)")</f>
        <v/>
      </c>
    </row>
    <row r="61">
      <c r="A61" s="15" t="inlineStr">
        <is>
          <t>Referring</t>
        </is>
      </c>
      <c r="B61" s="15" t="inlineStr">
        <is>
          <t>A NAMED introduction that reached a two-way conversation</t>
        </is>
      </c>
      <c r="C61" s="26" t="n"/>
      <c r="D61" s="26" t="n"/>
      <c r="E61" s="26" t="n"/>
      <c r="F61" s="26" t="n"/>
      <c r="G61" s="26" t="n"/>
      <c r="H61" s="26" t="n"/>
      <c r="I61" s="26" t="n"/>
      <c r="J61" s="26" t="n"/>
      <c r="K61" s="26" t="n"/>
      <c r="L61" s="26" t="n"/>
      <c r="M61" s="26" t="n"/>
      <c r="N61" s="26" t="n"/>
      <c r="O61" s="26" t="n"/>
      <c r="P61" s="27" t="n"/>
      <c r="Q61" s="30">
        <f>COUNTIF($E$6:$E$50,"Referring")</f>
        <v/>
      </c>
    </row>
    <row r="62">
      <c r="A62" s="15" t="inlineStr">
        <is>
          <t>Lost</t>
        </is>
      </c>
      <c r="B62" s="15" t="inlineStr">
        <is>
          <t>A no, or a next date blank for 30 days. Reason recorded verbatim</t>
        </is>
      </c>
      <c r="C62" s="26" t="n"/>
      <c r="D62" s="26" t="n"/>
      <c r="E62" s="26" t="n"/>
      <c r="F62" s="26" t="n"/>
      <c r="G62" s="26" t="n"/>
      <c r="H62" s="26" t="n"/>
      <c r="I62" s="26" t="n"/>
      <c r="J62" s="26" t="n"/>
      <c r="K62" s="26" t="n"/>
      <c r="L62" s="26" t="n"/>
      <c r="M62" s="26" t="n"/>
      <c r="N62" s="26" t="n"/>
      <c r="O62" s="26" t="n"/>
      <c r="P62" s="27" t="n"/>
      <c r="Q62" s="30">
        <f>COUNTIF($E$6:$E$50,"Lost")</f>
        <v/>
      </c>
    </row>
    <row r="64">
      <c r="A64" s="13" t="inlineStr">
        <is>
          <t>C. Conversion math — computed off your own rows, then argued with</t>
        </is>
      </c>
      <c r="B64" s="14" t="n"/>
      <c r="C64" s="14" t="n"/>
      <c r="D64" s="14" t="n"/>
      <c r="E64" s="14" t="n"/>
      <c r="F64" s="14" t="n"/>
      <c r="G64" s="14" t="n"/>
      <c r="H64" s="14" t="n"/>
      <c r="I64" s="14" t="n"/>
      <c r="J64" s="14" t="n"/>
      <c r="K64" s="14" t="n"/>
      <c r="L64" s="14" t="n"/>
      <c r="M64" s="14" t="n"/>
      <c r="N64" s="14" t="n"/>
      <c r="O64" s="14" t="n"/>
      <c r="P64" s="14" t="n"/>
      <c r="Q64" s="14" t="n"/>
    </row>
    <row r="65" ht="30" customHeight="1">
      <c r="A65" s="3" t="inlineStr">
        <is>
          <t>Ratio</t>
        </is>
      </c>
      <c r="B65" s="3" t="inlineStr">
        <is>
          <t>Reached the earlier stage</t>
        </is>
      </c>
      <c r="C65" s="3" t="inlineStr">
        <is>
          <t>Reached the later stage</t>
        </is>
      </c>
      <c r="D65" s="3" t="inlineStr">
        <is>
          <t>Rate</t>
        </is>
      </c>
      <c r="E65" s="3" t="inlineStr">
        <is>
          <t>Benchmark</t>
        </is>
      </c>
      <c r="F65" s="3" t="inlineStr">
        <is>
          <t>Reading</t>
        </is>
      </c>
      <c r="G65" s="3" t="inlineStr"/>
      <c r="H65" s="3" t="inlineStr"/>
      <c r="I65" s="3" t="inlineStr"/>
      <c r="J65" s="3" t="inlineStr"/>
      <c r="K65" s="3" t="inlineStr"/>
      <c r="L65" s="3" t="inlineStr"/>
      <c r="M65" s="3" t="inlineStr"/>
      <c r="N65" s="3" t="inlineStr"/>
      <c r="O65" s="3" t="inlineStr"/>
      <c r="P65" s="3" t="inlineStr"/>
      <c r="Q65" s="3" t="inlineStr"/>
    </row>
    <row r="66">
      <c r="A66" s="4" t="inlineStr">
        <is>
          <t>Demo → trial</t>
        </is>
      </c>
      <c r="B66" s="22">
        <f>COUNTIF($E$6:$E$50,"Demoed")+COUNTIF($E$6:$E$50,"Trial started")+COUNTIF($E$6:$E$50,"Paying")+COUNTIF($E$6:$E$50,"Activated (both sides)")+COUNTIF($E$6:$E$50,"Referring")</f>
        <v/>
      </c>
      <c r="C66" s="22">
        <f>COUNTIF($E$6:$E$50,"Trial started")+COUNTIF($E$6:$E$50,"Paying")+COUNTIF($E$6:$E$50,"Activated (both sides)")+COUNTIF($E$6:$E$50,"Referring")</f>
        <v/>
      </c>
      <c r="D66" s="31">
        <f>IF(B66=0,"",C66/B66)</f>
        <v/>
      </c>
      <c r="E66" s="4" t="inlineStr">
        <is>
          <t>40–50% (lesson 06 §1)</t>
        </is>
      </c>
      <c r="F66" s="4" t="inlineStr">
        <is>
          <t>Below it, the demo is not landing on his rupee figures.</t>
        </is>
      </c>
      <c r="G66" s="26" t="n"/>
      <c r="H66" s="26" t="n"/>
      <c r="I66" s="26" t="n"/>
      <c r="J66" s="26" t="n"/>
      <c r="K66" s="26" t="n"/>
      <c r="L66" s="26" t="n"/>
      <c r="M66" s="26" t="n"/>
      <c r="N66" s="26" t="n"/>
      <c r="O66" s="26" t="n"/>
      <c r="P66" s="26" t="n"/>
      <c r="Q66" s="27" t="n"/>
    </row>
    <row r="67">
      <c r="A67" s="4" t="inlineStr">
        <is>
          <t>Demo → paying</t>
        </is>
      </c>
      <c r="B67" s="22">
        <f>COUNTIF($E$6:$E$50,"Demoed")+COUNTIF($E$6:$E$50,"Trial started")+COUNTIF($E$6:$E$50,"Paying")+COUNTIF($E$6:$E$50,"Activated (both sides)")+COUNTIF($E$6:$E$50,"Referring")</f>
        <v/>
      </c>
      <c r="C67" s="22">
        <f>COUNTIF($E$6:$E$50,"Paying")+COUNTIF($E$6:$E$50,"Activated (both sides)")+COUNTIF($E$6:$E$50,"Referring")</f>
        <v/>
      </c>
      <c r="D67" s="31">
        <f>IF(B67=0,"",C67/B67)</f>
        <v/>
      </c>
      <c r="E67" s="4" t="inlineStr">
        <is>
          <t>~32% SMB (Optifai)</t>
        </is>
      </c>
      <c r="F67" s="4" t="inlineStr">
        <is>
          <t>The headline number. Read it only past 20 demos.</t>
        </is>
      </c>
      <c r="G67" s="26" t="n"/>
      <c r="H67" s="26" t="n"/>
      <c r="I67" s="26" t="n"/>
      <c r="J67" s="26" t="n"/>
      <c r="K67" s="26" t="n"/>
      <c r="L67" s="26" t="n"/>
      <c r="M67" s="26" t="n"/>
      <c r="N67" s="26" t="n"/>
      <c r="O67" s="26" t="n"/>
      <c r="P67" s="26" t="n"/>
      <c r="Q67" s="27" t="n"/>
    </row>
    <row r="68">
      <c r="A68" s="4" t="inlineStr">
        <is>
          <t>Trial → paying</t>
        </is>
      </c>
      <c r="B68" s="22">
        <f>COUNTIF($E$6:$E$50,"Trial started")+COUNTIF($E$6:$E$50,"Paying")+COUNTIF($E$6:$E$50,"Activated (both sides)")+COUNTIF($E$6:$E$50,"Referring")</f>
        <v/>
      </c>
      <c r="C68" s="22">
        <f>COUNTIF($E$6:$E$50,"Paying")+COUNTIF($E$6:$E$50,"Activated (both sides)")+COUNTIF($E$6:$E$50,"Referring")</f>
        <v/>
      </c>
      <c r="D68" s="31">
        <f>IF(B68=0,"",C68/B68)</f>
        <v/>
      </c>
      <c r="E68" s="4" t="inlineStr">
        <is>
          <t>35–45%; beat the unassisted 18.2% (First Page Sage)</t>
        </is>
      </c>
      <c r="F68" s="4" t="inlineStr">
        <is>
          <t>A trial nobody visits on day 14 converts like an unassisted one.</t>
        </is>
      </c>
      <c r="G68" s="26" t="n"/>
      <c r="H68" s="26" t="n"/>
      <c r="I68" s="26" t="n"/>
      <c r="J68" s="26" t="n"/>
      <c r="K68" s="26" t="n"/>
      <c r="L68" s="26" t="n"/>
      <c r="M68" s="26" t="n"/>
      <c r="N68" s="26" t="n"/>
      <c r="O68" s="26" t="n"/>
      <c r="P68" s="26" t="n"/>
      <c r="Q68" s="27" t="n"/>
    </row>
    <row r="69">
      <c r="A69" s="4" t="inlineStr">
        <is>
          <t>Paying → activated</t>
        </is>
      </c>
      <c r="B69" s="22">
        <f>COUNTIF($E$6:$E$50,"Paying")+COUNTIF($E$6:$E$50,"Activated (both sides)")+COUNTIF($E$6:$E$50,"Referring")</f>
        <v/>
      </c>
      <c r="C69" s="22">
        <f>COUNTIF($E$6:$E$50,"Activated (both sides)")+COUNTIF($E$6:$E$50,"Referring")</f>
        <v/>
      </c>
      <c r="D69" s="31">
        <f>IF(B69=0,"",C69/B69)</f>
        <v/>
      </c>
      <c r="E69" s="4" t="inlineStr">
        <is>
          <t>60–75% — the rung marketing owns alone (HC10)</t>
        </is>
      </c>
      <c r="F69" s="4" t="inlineStr">
        <is>
          <t>Paying is not activated. Both sides live, or it does not count.</t>
        </is>
      </c>
      <c r="G69" s="26" t="n"/>
      <c r="H69" s="26" t="n"/>
      <c r="I69" s="26" t="n"/>
      <c r="J69" s="26" t="n"/>
      <c r="K69" s="26" t="n"/>
      <c r="L69" s="26" t="n"/>
      <c r="M69" s="26" t="n"/>
      <c r="N69" s="26" t="n"/>
      <c r="O69" s="26" t="n"/>
      <c r="P69" s="26" t="n"/>
      <c r="Q69" s="27" t="n"/>
    </row>
    <row r="70">
      <c r="A70" s="4" t="inlineStr">
        <is>
          <t>Touches per win</t>
        </is>
      </c>
      <c r="B70" s="21" t="inlineStr"/>
      <c r="C70" s="22">
        <f>COUNTIF($E$6:$E$50,"Paying")+COUNTIF($E$6:$E$50,"Activated (both sides)")+COUNTIF($E$6:$E$50,"Referring")</f>
        <v/>
      </c>
      <c r="D70" s="32">
        <f>IF(C70=0,"",B70/C70)</f>
        <v/>
      </c>
      <c r="E70" s="4" t="inlineStr">
        <is>
          <t>five (Cirrus Insight)</t>
        </is>
      </c>
      <c r="F70" s="4" t="inlineStr">
        <is>
          <t>Type the follow-ups you logged this quarter into B. If it is under three, you are quitting too early.</t>
        </is>
      </c>
      <c r="G70" s="26" t="n"/>
      <c r="H70" s="26" t="n"/>
      <c r="I70" s="26" t="n"/>
      <c r="J70" s="26" t="n"/>
      <c r="K70" s="26" t="n"/>
      <c r="L70" s="26" t="n"/>
      <c r="M70" s="26" t="n"/>
      <c r="N70" s="26" t="n"/>
      <c r="O70" s="26" t="n"/>
      <c r="P70" s="26" t="n"/>
      <c r="Q70" s="27" t="n"/>
    </row>
    <row r="72">
      <c r="A72" s="13" t="inlineStr">
        <is>
          <t>D. The Monday review — ten minutes, in this order</t>
        </is>
      </c>
      <c r="B72" s="14" t="n"/>
      <c r="C72" s="14" t="n"/>
      <c r="D72" s="14" t="n"/>
      <c r="E72" s="14" t="n"/>
      <c r="F72" s="14" t="n"/>
      <c r="G72" s="14" t="n"/>
      <c r="H72" s="14" t="n"/>
      <c r="I72" s="14" t="n"/>
      <c r="J72" s="14" t="n"/>
      <c r="K72" s="14" t="n"/>
      <c r="L72" s="14" t="n"/>
      <c r="M72" s="14" t="n"/>
      <c r="N72" s="14" t="n"/>
      <c r="O72" s="14" t="n"/>
      <c r="P72" s="14" t="n"/>
      <c r="Q72" s="14" t="n"/>
    </row>
    <row r="73" ht="30" customHeight="1">
      <c r="A73" s="3" t="inlineStr">
        <is>
          <t>#</t>
        </is>
      </c>
      <c r="B73" s="3" t="inlineStr">
        <is>
          <t>Step</t>
        </is>
      </c>
      <c r="C73" s="3" t="inlineStr">
        <is>
          <t>Count now</t>
        </is>
      </c>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row>
    <row r="74" ht="28" customHeight="1">
      <c r="A74" s="4" t="n">
        <v>1</v>
      </c>
      <c r="B74" s="4" t="inlineStr">
        <is>
          <t>Stalled rows first — last touch over 14 days. Each gets a next action with a date, or Lost. Nothing leaves 'still thinking'.</t>
        </is>
      </c>
      <c r="C74" s="22">
        <f>SUMPRODUCT((A6:A50&lt;&gt;"")*(E6:E50&lt;&gt;"Lost")*(G6:G50&lt;&gt;"")*(G6:G50&gt;14))</f>
        <v/>
      </c>
    </row>
    <row r="75" ht="28" customHeight="1">
      <c r="A75" s="4" t="n">
        <v>2</v>
      </c>
      <c r="B75" s="4" t="inlineStr">
        <is>
          <t>Blank next actions — fill or kill.</t>
        </is>
      </c>
      <c r="C75" s="22">
        <f>SUMPRODUCT((A6:A50&lt;&gt;"")*(E6:E50&lt;&gt;"Lost")*(I6:I50=""))</f>
        <v/>
      </c>
    </row>
    <row r="76" ht="28" customHeight="1">
      <c r="A76" s="4" t="n">
        <v>3</v>
      </c>
      <c r="B76" s="4" t="inlineStr">
        <is>
          <t>Next dates already past — a date you have walked past is a blank date.</t>
        </is>
      </c>
      <c r="C76" s="22">
        <f>SUMPRODUCT((I6:I50&lt;&gt;"")*(I6:I50&lt;TODAY())*(E6:E50&lt;&gt;"Lost"))</f>
        <v/>
      </c>
    </row>
    <row r="77" ht="28" customHeight="1">
      <c r="A77" s="4" t="n">
        <v>4</v>
      </c>
      <c r="B77" s="4" t="inlineStr">
        <is>
          <t>Stage moves since last Monday, read aloud against the exit test (section B).</t>
        </is>
      </c>
    </row>
    <row r="78" ht="28" customHeight="1">
      <c r="A78" s="4" t="n">
        <v>5</v>
      </c>
      <c r="B78" s="4" t="inlineStr">
        <is>
          <t>The five counts to the scorecard: visits, demos, trials, paying, activated (M13 → T05).</t>
        </is>
      </c>
    </row>
    <row r="79" ht="28" customHeight="1">
      <c r="A79" s="4" t="n">
        <v>6</v>
      </c>
      <c r="B79" s="4" t="inlineStr">
        <is>
          <t>Conversion math (section C) — and after 20 demos, replace every benchmark with your own.</t>
        </is>
      </c>
    </row>
    <row r="81">
      <c r="A81" s="13" t="inlineStr">
        <is>
          <t>E. ERPNext CRM mapping — the sheet dies the day this goes live. No parallel spreadsheet.</t>
        </is>
      </c>
      <c r="B81" s="14" t="n"/>
      <c r="C81" s="14" t="n"/>
      <c r="D81" s="14" t="n"/>
      <c r="E81" s="14" t="n"/>
      <c r="F81" s="14" t="n"/>
      <c r="G81" s="14" t="n"/>
      <c r="H81" s="14" t="n"/>
      <c r="I81" s="14" t="n"/>
      <c r="J81" s="14" t="n"/>
      <c r="K81" s="14" t="n"/>
      <c r="L81" s="14" t="n"/>
      <c r="M81" s="14" t="n"/>
      <c r="N81" s="14" t="n"/>
      <c r="O81" s="14" t="n"/>
      <c r="P81" s="14" t="n"/>
      <c r="Q81" s="14" t="n"/>
    </row>
    <row r="82" ht="30" customHeight="1">
      <c r="A82" s="3" t="inlineStr">
        <is>
          <t>Sheet stage</t>
        </is>
      </c>
      <c r="B82" s="3" t="inlineStr">
        <is>
          <t>ERPNext</t>
        </is>
      </c>
      <c r="C82" s="3" t="inlineStr"/>
      <c r="D82" s="3" t="inlineStr"/>
      <c r="E82" s="3" t="inlineStr"/>
      <c r="F82" s="3" t="inlineStr"/>
      <c r="G82" s="3" t="inlineStr"/>
      <c r="H82" s="3" t="inlineStr"/>
      <c r="I82" s="3" t="inlineStr"/>
      <c r="J82" s="3" t="inlineStr"/>
      <c r="K82" s="3" t="inlineStr"/>
      <c r="L82" s="3" t="inlineStr"/>
      <c r="M82" s="3" t="inlineStr"/>
      <c r="N82" s="3" t="inlineStr"/>
      <c r="O82" s="3" t="inlineStr"/>
      <c r="P82" s="3" t="inlineStr"/>
      <c r="Q82" s="3" t="inlineStr"/>
    </row>
    <row r="83">
      <c r="A83" s="15" t="inlineStr">
        <is>
          <t>Target, Contacted</t>
        </is>
      </c>
      <c r="B83" s="15" t="inlineStr">
        <is>
          <t>Lead, walking Lead → Open → Replied</t>
        </is>
      </c>
      <c r="C83" s="26" t="n"/>
      <c r="D83" s="26" t="n"/>
      <c r="E83" s="26" t="n"/>
      <c r="F83" s="26" t="n"/>
      <c r="G83" s="26" t="n"/>
      <c r="H83" s="26" t="n"/>
      <c r="I83" s="26" t="n"/>
      <c r="J83" s="26" t="n"/>
      <c r="K83" s="26" t="n"/>
      <c r="L83" s="26" t="n"/>
      <c r="M83" s="26" t="n"/>
      <c r="N83" s="26" t="n"/>
      <c r="O83" s="26" t="n"/>
      <c r="P83" s="26" t="n"/>
      <c r="Q83" s="27" t="n"/>
    </row>
    <row r="84">
      <c r="A84" s="15" t="inlineStr">
        <is>
          <t>Visited, Demoed, Trial started</t>
        </is>
      </c>
      <c r="B84" s="15" t="inlineStr">
        <is>
          <t>Opportunity, raised against the Lead</t>
        </is>
      </c>
      <c r="C84" s="26" t="n"/>
      <c r="D84" s="26" t="n"/>
      <c r="E84" s="26" t="n"/>
      <c r="F84" s="26" t="n"/>
      <c r="G84" s="26" t="n"/>
      <c r="H84" s="26" t="n"/>
      <c r="I84" s="26" t="n"/>
      <c r="J84" s="26" t="n"/>
      <c r="K84" s="26" t="n"/>
      <c r="L84" s="26" t="n"/>
      <c r="M84" s="26" t="n"/>
      <c r="N84" s="26" t="n"/>
      <c r="O84" s="26" t="n"/>
      <c r="P84" s="26" t="n"/>
      <c r="Q84" s="27" t="n"/>
    </row>
    <row r="85">
      <c r="A85" s="15" t="inlineStr">
        <is>
          <t>Paying</t>
        </is>
      </c>
      <c r="B85" s="15" t="inlineStr">
        <is>
          <t>Customer + Sales Invoice + Payment Entry; the Lead reads Converted</t>
        </is>
      </c>
      <c r="C85" s="26" t="n"/>
      <c r="D85" s="26" t="n"/>
      <c r="E85" s="26" t="n"/>
      <c r="F85" s="26" t="n"/>
      <c r="G85" s="26" t="n"/>
      <c r="H85" s="26" t="n"/>
      <c r="I85" s="26" t="n"/>
      <c r="J85" s="26" t="n"/>
      <c r="K85" s="26" t="n"/>
      <c r="L85" s="26" t="n"/>
      <c r="M85" s="26" t="n"/>
      <c r="N85" s="26" t="n"/>
      <c r="O85" s="26" t="n"/>
      <c r="P85" s="26" t="n"/>
      <c r="Q85" s="27" t="n"/>
    </row>
    <row r="86">
      <c r="A86" s="15" t="inlineStr">
        <is>
          <t>Activated (both sides), Referring</t>
        </is>
      </c>
      <c r="B86" s="15" t="inlineStr">
        <is>
          <t>No equivalent — marketing-only columns, which is why this sheet exists</t>
        </is>
      </c>
      <c r="C86" s="26" t="n"/>
      <c r="D86" s="26" t="n"/>
      <c r="E86" s="26" t="n"/>
      <c r="F86" s="26" t="n"/>
      <c r="G86" s="26" t="n"/>
      <c r="H86" s="26" t="n"/>
      <c r="I86" s="26" t="n"/>
      <c r="J86" s="26" t="n"/>
      <c r="K86" s="26" t="n"/>
      <c r="L86" s="26" t="n"/>
      <c r="M86" s="26" t="n"/>
      <c r="N86" s="26" t="n"/>
      <c r="O86" s="26" t="n"/>
      <c r="P86" s="26" t="n"/>
      <c r="Q86" s="27" t="n"/>
    </row>
    <row r="88" ht="56" customHeight="1">
      <c r="A88" s="12" t="inlineStr">
        <is>
          <t>Counting rule for section C: a row counts as having REACHED a stage if it currently sits at that stage or any later one — that is what makes a snapshot readable. A row marked Lost no longer carries the stage it reached, so the reached-counts understate slightly; write the furthest stage into the objection cell when you mark a row Lost. 40–60% of an average B2B pipeline ends in 'no decision' rather than a loss (Dixon, via 6sense) — the stalled-row count in section D is the only defence against it.</t>
        </is>
      </c>
    </row>
  </sheetData>
  <mergeCells count="25">
    <mergeCell ref="B74"/>
    <mergeCell ref="B84:Q84"/>
    <mergeCell ref="B60:P60"/>
    <mergeCell ref="B83:Q83"/>
    <mergeCell ref="B61:P61"/>
    <mergeCell ref="B57:P57"/>
    <mergeCell ref="F70:Q70"/>
    <mergeCell ref="F66:Q66"/>
    <mergeCell ref="B76"/>
    <mergeCell ref="B79"/>
    <mergeCell ref="A88:Q88"/>
    <mergeCell ref="B75"/>
    <mergeCell ref="B85:Q85"/>
    <mergeCell ref="F67:Q67"/>
    <mergeCell ref="B55:P55"/>
    <mergeCell ref="B77"/>
    <mergeCell ref="B86:Q86"/>
    <mergeCell ref="B62:P62"/>
    <mergeCell ref="F69:Q69"/>
    <mergeCell ref="B54:P54"/>
    <mergeCell ref="F68:Q68"/>
    <mergeCell ref="B59:P59"/>
    <mergeCell ref="B78"/>
    <mergeCell ref="B56:P56"/>
    <mergeCell ref="B58:P58"/>
  </mergeCells>
  <conditionalFormatting sqref="G6:G50">
    <cfRule type="cellIs" priority="1" operator="greaterThan" dxfId="0">
      <formula>14</formula>
    </cfRule>
  </conditionalFormatting>
  <conditionalFormatting sqref="I6:I50">
    <cfRule type="cellIs" priority="2" operator="lessThan" dxfId="1">
      <formula>TODAY()</formula>
    </cfRule>
  </conditionalFormatting>
  <dataValidations count="6">
    <dataValidation sqref="E6:E50" showDropDown="0" showInputMessage="0" showErrorMessage="1" allowBlank="1" errorTitle="Stage — pick from the nine" error="Please pick a value from the dropdown." type="list">
      <formula1>"Target,Contacted,Visited,Demoed,Trial started,Paying,Activated (both sides),Referring,Lost"</formula1>
    </dataValidation>
    <dataValidation sqref="C6:C50" showDropDown="0" showInputMessage="0" showErrorMessage="1" allowBlank="1" errorTitle="Pick from list" error="Please pick a value from the dropdown." type="list">
      <formula1>"pump dealer,bulk diesel,lubricant distributor"</formula1>
    </dataValidation>
    <dataValidation sqref="D6:D50" showDropDown="0" showInputMessage="0" showErrorMessage="1" allowBlank="1" errorTitle="Source channel — mandatory" error="Please pick a value from the dropdown." type="list">
      <formula1>"referral,OMC TM,association,CA,field visit,WhatsApp,inbound"</formula1>
    </dataValidation>
    <dataValidation sqref="M6:M50" showDropDown="0" showInputMessage="0" showErrorMessage="1" allowBlank="1" errorTitle="Pick from list" error="Please pick a value from the dropdown." type="list">
      <formula1>"₹599,₹1,799,₹4,999,Enterprise,—"</formula1>
    </dataValidation>
    <dataValidation sqref="O6:O50" showDropDown="0" showInputMessage="0" showErrorMessage="1" allowBlank="1" errorTitle="Pick from list" error="Please pick a value from the dropdown." type="list">
      <formula1>"Y,N"</formula1>
    </dataValidation>
    <dataValidation sqref="Q6:Q50" showDropDown="0" showInputMessage="0" showErrorMessage="1" allowBlank="1" errorTitle="Pick from list" error="Please pick a value from the dropdown." type="list">
      <formula1>"CEO,Domain dir.,Third dir.,—"</formula1>
    </dataValidation>
  </dataValidations>
  <pageMargins left="0.75" right="0.75" top="1" bottom="1" header="0.5" footer="0.5"/>
</worksheet>
</file>

<file path=xl/worksheets/sheet4.xml><?xml version="1.0" encoding="utf-8"?>
<worksheet xmlns="http://schemas.openxmlformats.org/spreadsheetml/2006/main">
  <sheetPr>
    <tabColor rgb="00475569"/>
    <outlinePr summaryBelow="1" summaryRight="1"/>
    <pageSetUpPr/>
  </sheetPr>
  <dimension ref="A1:Y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14" customWidth="1" min="3" max="3"/>
    <col width="30" customWidth="1" min="4" max="4"/>
    <col width="9" customWidth="1" min="5" max="5"/>
    <col width="15" customWidth="1" min="6" max="6"/>
    <col width="13" customWidth="1" min="7" max="7"/>
    <col width="1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12" customWidth="1" min="22" max="22"/>
    <col width="9" customWidth="1" min="23" max="23"/>
    <col width="11" customWidth="1" min="24" max="24"/>
    <col width="34" customWidth="1" min="25" max="25"/>
  </cols>
  <sheetData>
    <row r="1" ht="23" customHeight="1">
      <c r="A1" s="1" t="inlineStr">
        <is>
          <t>Marketing Scorecard — the eight weekly numbers (HC8), thirteen weeks trailing</t>
        </is>
      </c>
    </row>
    <row r="2" ht="26" customHeight="1">
      <c r="A2" s="2" t="inlineStr">
        <is>
          <t>Fills M13 §A. Eight rows, no more. One owner enters each number personally by Monday 09:30; the 09:40 huddle reads the sheet, never builds it. No metric without a source. Fill weeks left to right without gaps (Last = last filled week). Percentages as fractions (0.4 = 40%). Red two weeks running escalates automatically onto the COO's issues list at the 10:00 ops meeting. Goals and red lines are illustrative — VERIFY LIVE at quarterly planning.</t>
        </is>
      </c>
    </row>
    <row r="3">
      <c r="H3" s="33" t="inlineStr">
        <is>
          <t>Week starting →</t>
        </is>
      </c>
      <c r="I3" s="34" t="n">
        <v>46265</v>
      </c>
      <c r="J3" s="35">
        <f>I3+7</f>
        <v/>
      </c>
      <c r="K3" s="35">
        <f>J3+7</f>
        <v/>
      </c>
      <c r="L3" s="35">
        <f>K3+7</f>
        <v/>
      </c>
      <c r="M3" s="35">
        <f>L3+7</f>
        <v/>
      </c>
      <c r="N3" s="35">
        <f>M3+7</f>
        <v/>
      </c>
      <c r="O3" s="35">
        <f>N3+7</f>
        <v/>
      </c>
      <c r="P3" s="35">
        <f>O3+7</f>
        <v/>
      </c>
      <c r="Q3" s="35">
        <f>P3+7</f>
        <v/>
      </c>
      <c r="R3" s="35">
        <f>Q3+7</f>
        <v/>
      </c>
      <c r="S3" s="35">
        <f>R3+7</f>
        <v/>
      </c>
      <c r="T3" s="35">
        <f>S3+7</f>
        <v/>
      </c>
      <c r="U3" s="35">
        <f>T3+7</f>
        <v/>
      </c>
    </row>
    <row r="4" ht="30" customHeight="1">
      <c r="A4" s="3" t="inlineStr">
        <is>
          <t>#</t>
        </is>
      </c>
      <c r="B4" s="3" t="inlineStr">
        <is>
          <t>Metric (HC8)</t>
        </is>
      </c>
      <c r="C4" s="3" t="inlineStr">
        <is>
          <t>Owner</t>
        </is>
      </c>
      <c r="D4" s="3" t="inlineStr">
        <is>
          <t>Source</t>
        </is>
      </c>
      <c r="E4" s="3" t="inlineStr">
        <is>
          <t>Unit</t>
        </is>
      </c>
      <c r="F4" s="3" t="inlineStr">
        <is>
          <t>Direction</t>
        </is>
      </c>
      <c r="G4" s="3" t="inlineStr">
        <is>
          <t>Goal (Green)</t>
        </is>
      </c>
      <c r="H4" s="3" t="inlineStr">
        <is>
          <t>Red line</t>
        </is>
      </c>
      <c r="I4" s="3" t="inlineStr">
        <is>
          <t>W1</t>
        </is>
      </c>
      <c r="J4" s="3" t="inlineStr">
        <is>
          <t>W2</t>
        </is>
      </c>
      <c r="K4" s="3" t="inlineStr">
        <is>
          <t>W3</t>
        </is>
      </c>
      <c r="L4" s="3" t="inlineStr">
        <is>
          <t>W4</t>
        </is>
      </c>
      <c r="M4" s="3" t="inlineStr">
        <is>
          <t>W5</t>
        </is>
      </c>
      <c r="N4" s="3" t="inlineStr">
        <is>
          <t>W6</t>
        </is>
      </c>
      <c r="O4" s="3" t="inlineStr">
        <is>
          <t>W7</t>
        </is>
      </c>
      <c r="P4" s="3" t="inlineStr">
        <is>
          <t>W8</t>
        </is>
      </c>
      <c r="Q4" s="3" t="inlineStr">
        <is>
          <t>W9</t>
        </is>
      </c>
      <c r="R4" s="3" t="inlineStr">
        <is>
          <t>W10</t>
        </is>
      </c>
      <c r="S4" s="3" t="inlineStr">
        <is>
          <t>W11</t>
        </is>
      </c>
      <c r="T4" s="3" t="inlineStr">
        <is>
          <t>W12</t>
        </is>
      </c>
      <c r="U4" s="3" t="inlineStr">
        <is>
          <t>W13</t>
        </is>
      </c>
      <c r="V4" s="3" t="inlineStr">
        <is>
          <t>Last</t>
        </is>
      </c>
      <c r="W4" s="3" t="inlineStr">
        <is>
          <t>Trend</t>
        </is>
      </c>
      <c r="X4" s="3" t="inlineStr">
        <is>
          <t>Status</t>
        </is>
      </c>
      <c r="Y4" s="3" t="inlineStr">
        <is>
          <t>Notes</t>
        </is>
      </c>
    </row>
    <row r="5" ht="34" customHeight="1">
      <c r="A5" s="4" t="n">
        <v>1</v>
      </c>
      <c r="B5" s="4" t="inlineStr">
        <is>
          <t>Pump visits</t>
        </is>
      </c>
      <c r="C5" s="4" t="inlineStr">
        <is>
          <t>Domain dir.</t>
        </is>
      </c>
      <c r="D5" s="4" t="inlineStr">
        <is>
          <t>Pipeline tab — visits logged the same evening</t>
        </is>
      </c>
      <c r="E5" s="4" t="inlineStr">
        <is>
          <t>count</t>
        </is>
      </c>
      <c r="F5" s="4" t="inlineStr">
        <is>
          <t>Higher is better</t>
        </is>
      </c>
      <c r="G5" s="36" t="n">
        <v>8</v>
      </c>
      <c r="H5" s="36" t="n">
        <v>4</v>
      </c>
      <c r="I5" s="37" t="n">
        <v>9</v>
      </c>
      <c r="J5" s="37" t="n">
        <v>7</v>
      </c>
      <c r="K5" s="37" t="n">
        <v>12</v>
      </c>
      <c r="L5" s="38" t="n"/>
      <c r="M5" s="38" t="n"/>
      <c r="N5" s="38" t="n"/>
      <c r="O5" s="38" t="n"/>
      <c r="P5" s="38" t="n"/>
      <c r="Q5" s="38" t="n"/>
      <c r="R5" s="38" t="n"/>
      <c r="S5" s="38" t="n"/>
      <c r="T5" s="38" t="n"/>
      <c r="U5" s="38" t="n"/>
      <c r="V5" s="39">
        <f>IF(COUNTA(I5:U5)=0,"",INDEX(I5:U5,1,COUNTA(I5:U5)))</f>
        <v/>
      </c>
      <c r="W5" s="40">
        <f>IF(COUNTA(I5:U5)&lt;2,"",IF(V5&gt;INDEX(I5:U5,1,COUNTA(I5:U5)-1),"▲",IF(V5&lt;INDEX(I5:U5,1,COUNTA(I5:U5)-1),"▼","►")))</f>
        <v/>
      </c>
      <c r="X5" s="41">
        <f>IF(V5="","",IF(F5="Higher is better",IF(V5&gt;=G5,"Green",IF(V5&lt;=H5,"Red","Amber")),IF(V5&lt;=G5,"Green",IF(V5&gt;=H5,"Red","Amber"))))</f>
        <v/>
      </c>
      <c r="Y5" s="42" t="inlineStr"/>
    </row>
    <row r="6" ht="34" customHeight="1">
      <c r="A6" s="4" t="n">
        <v>2</v>
      </c>
      <c r="B6" s="4" t="inlineStr">
        <is>
          <t>Demos done</t>
        </is>
      </c>
      <c r="C6" s="4" t="inlineStr">
        <is>
          <t>Domain dir.</t>
        </is>
      </c>
      <c r="D6" s="4" t="inlineStr">
        <is>
          <t>Pipeline tab, stage Demoed</t>
        </is>
      </c>
      <c r="E6" s="4" t="inlineStr">
        <is>
          <t>count</t>
        </is>
      </c>
      <c r="F6" s="4" t="inlineStr">
        <is>
          <t>Higher is better</t>
        </is>
      </c>
      <c r="G6" s="36" t="n">
        <v>5</v>
      </c>
      <c r="H6" s="36" t="n">
        <v>2</v>
      </c>
      <c r="I6" s="37" t="n">
        <v>2</v>
      </c>
      <c r="J6" s="37" t="n">
        <v>3</v>
      </c>
      <c r="K6" s="37" t="n">
        <v>4</v>
      </c>
      <c r="L6" s="38" t="n"/>
      <c r="M6" s="38" t="n"/>
      <c r="N6" s="38" t="n"/>
      <c r="O6" s="38" t="n"/>
      <c r="P6" s="38" t="n"/>
      <c r="Q6" s="38" t="n"/>
      <c r="R6" s="38" t="n"/>
      <c r="S6" s="38" t="n"/>
      <c r="T6" s="38" t="n"/>
      <c r="U6" s="38" t="n"/>
      <c r="V6" s="39">
        <f>IF(COUNTA(I6:U6)=0,"",INDEX(I6:U6,1,COUNTA(I6:U6)))</f>
        <v/>
      </c>
      <c r="W6" s="40">
        <f>IF(COUNTA(I6:U6)&lt;2,"",IF(V6&gt;INDEX(I6:U6,1,COUNTA(I6:U6)-1),"▲",IF(V6&lt;INDEX(I6:U6,1,COUNTA(I6:U6)-1),"▼","►")))</f>
        <v/>
      </c>
      <c r="X6" s="41">
        <f>IF(V6="","",IF(F6="Higher is better",IF(V6&gt;=G6,"Green",IF(V6&lt;=H6,"Red","Amber")),IF(V6&lt;=G6,"Green",IF(V6&gt;=H6,"Red","Amber"))))</f>
        <v/>
      </c>
      <c r="Y6" s="42" t="inlineStr">
        <is>
          <t>IS T05 row 2 — entered once here, read there.</t>
        </is>
      </c>
    </row>
    <row r="7" ht="34" customHeight="1">
      <c r="A7" s="4" t="n">
        <v>3</v>
      </c>
      <c r="B7" s="4" t="inlineStr">
        <is>
          <t>Trials started</t>
        </is>
      </c>
      <c r="C7" s="4" t="inlineStr">
        <is>
          <t>Third dir.</t>
        </is>
      </c>
      <c r="D7" s="4" t="inlineStr">
        <is>
          <t>Mongo dealer_msts</t>
        </is>
      </c>
      <c r="E7" s="4" t="inlineStr">
        <is>
          <t>count</t>
        </is>
      </c>
      <c r="F7" s="4" t="inlineStr">
        <is>
          <t>Higher is better</t>
        </is>
      </c>
      <c r="G7" s="36" t="n">
        <v>3</v>
      </c>
      <c r="H7" s="36" t="n">
        <v>1</v>
      </c>
      <c r="I7" s="37" t="n">
        <v>1</v>
      </c>
      <c r="J7" s="37" t="n">
        <v>0</v>
      </c>
      <c r="K7" s="37" t="n">
        <v>2</v>
      </c>
      <c r="L7" s="38" t="n"/>
      <c r="M7" s="38" t="n"/>
      <c r="N7" s="38" t="n"/>
      <c r="O7" s="38" t="n"/>
      <c r="P7" s="38" t="n"/>
      <c r="Q7" s="38" t="n"/>
      <c r="R7" s="38" t="n"/>
      <c r="S7" s="38" t="n"/>
      <c r="T7" s="38" t="n"/>
      <c r="U7" s="38" t="n"/>
      <c r="V7" s="39">
        <f>IF(COUNTA(I7:U7)=0,"",INDEX(I7:U7,1,COUNTA(I7:U7)))</f>
        <v/>
      </c>
      <c r="W7" s="40">
        <f>IF(COUNTA(I7:U7)&lt;2,"",IF(V7&gt;INDEX(I7:U7,1,COUNTA(I7:U7)-1),"▲",IF(V7&lt;INDEX(I7:U7,1,COUNTA(I7:U7)-1),"▼","►")))</f>
        <v/>
      </c>
      <c r="X7" s="41">
        <f>IF(V7="","",IF(F7="Higher is better",IF(V7&gt;=G7,"Green",IF(V7&lt;=H7,"Red","Amber")),IF(V7&lt;=G7,"Green",IF(V7&gt;=H7,"Red","Amber"))))</f>
        <v/>
      </c>
      <c r="Y7" s="42" t="inlineStr"/>
    </row>
    <row r="8" ht="34" customHeight="1">
      <c r="A8" s="4" t="n">
        <v>4</v>
      </c>
      <c r="B8" s="4" t="inlineStr">
        <is>
          <t>Dealers activated (≥1 customer linked + ≥1 invoice, 14 days)</t>
        </is>
      </c>
      <c r="C8" s="4" t="inlineStr">
        <is>
          <t>Third dir.</t>
        </is>
      </c>
      <c r="D8" s="4" t="inlineStr">
        <is>
          <t>Saved Mongo aggregation</t>
        </is>
      </c>
      <c r="E8" s="4" t="inlineStr">
        <is>
          <t>count</t>
        </is>
      </c>
      <c r="F8" s="4" t="inlineStr">
        <is>
          <t>Higher is better</t>
        </is>
      </c>
      <c r="G8" s="36" t="n">
        <v>2</v>
      </c>
      <c r="H8" s="36" t="n">
        <v>0</v>
      </c>
      <c r="I8" s="38" t="n"/>
      <c r="J8" s="38" t="n"/>
      <c r="K8" s="38" t="n"/>
      <c r="L8" s="38" t="n"/>
      <c r="M8" s="38" t="n"/>
      <c r="N8" s="38" t="n"/>
      <c r="O8" s="38" t="n"/>
      <c r="P8" s="38" t="n"/>
      <c r="Q8" s="38" t="n"/>
      <c r="R8" s="38" t="n"/>
      <c r="S8" s="38" t="n"/>
      <c r="T8" s="38" t="n"/>
      <c r="U8" s="38" t="n"/>
      <c r="V8" s="39">
        <f>IF(COUNTA(I8:U8)=0,"",INDEX(I8:U8,1,COUNTA(I8:U8)))</f>
        <v/>
      </c>
      <c r="W8" s="40">
        <f>IF(COUNTA(I8:U8)&lt;2,"",IF(V8&gt;INDEX(I8:U8,1,COUNTA(I8:U8)-1),"▲",IF(V8&lt;INDEX(I8:U8,1,COUNTA(I8:U8)-1),"▼","►")))</f>
        <v/>
      </c>
      <c r="X8" s="41">
        <f>IF(V8="","",IF(F8="Higher is better",IF(V8&gt;=G8,"Green",IF(V8&lt;=H8,"Red","Amber")),IF(V8&lt;=G8,"Green",IF(V8&gt;=H8,"Red","Amber"))))</f>
        <v/>
      </c>
      <c r="Y8" s="42" t="inlineStr">
        <is>
          <t>Blank on purpose: aggregation not saved yet — CEO, this week. A blank with a reason beats a filled cell with a guess. IS T05 row 3.</t>
        </is>
      </c>
    </row>
    <row r="9" ht="34" customHeight="1">
      <c r="A9" s="4" t="n">
        <v>5</v>
      </c>
      <c r="B9" s="4" t="inlineStr">
        <is>
          <t>Customers activated per activated dealer</t>
        </is>
      </c>
      <c r="C9" s="4" t="inlineStr">
        <is>
          <t>Third dir.</t>
        </is>
      </c>
      <c r="D9" s="4" t="inlineStr">
        <is>
          <t>dealer_custs × rate_msts</t>
        </is>
      </c>
      <c r="E9" s="4" t="inlineStr">
        <is>
          <t>ratio</t>
        </is>
      </c>
      <c r="F9" s="4" t="inlineStr">
        <is>
          <t>Higher is better</t>
        </is>
      </c>
      <c r="G9" s="43" t="n">
        <v>3</v>
      </c>
      <c r="H9" s="43" t="n">
        <v>1</v>
      </c>
      <c r="I9" s="44" t="n"/>
      <c r="J9" s="44" t="n"/>
      <c r="K9" s="44" t="n"/>
      <c r="L9" s="44" t="n"/>
      <c r="M9" s="44" t="n"/>
      <c r="N9" s="44" t="n"/>
      <c r="O9" s="44" t="n"/>
      <c r="P9" s="44" t="n"/>
      <c r="Q9" s="44" t="n"/>
      <c r="R9" s="44" t="n"/>
      <c r="S9" s="44" t="n"/>
      <c r="T9" s="44" t="n"/>
      <c r="U9" s="44" t="n"/>
      <c r="V9" s="45">
        <f>IF(COUNTA(I9:U9)=0,"",INDEX(I9:U9,1,COUNTA(I9:U9)))</f>
        <v/>
      </c>
      <c r="W9" s="40">
        <f>IF(COUNTA(I9:U9)&lt;2,"",IF(V9&gt;INDEX(I9:U9,1,COUNTA(I9:U9)-1),"▲",IF(V9&lt;INDEX(I9:U9,1,COUNTA(I9:U9)-1),"▼","►")))</f>
        <v/>
      </c>
      <c r="X9" s="41">
        <f>IF(V9="","",IF(F9="Higher is better",IF(V9&gt;=G9,"Green",IF(V9&lt;=H9,"Red","Amber")),IF(V9&lt;=G9,"Green",IF(V9&gt;=H9,"Red","Amber"))))</f>
        <v/>
      </c>
      <c r="Y9" s="42" t="inlineStr">
        <is>
          <t>Same debt as row 4. Feeds T05 rows 4 and 5.</t>
        </is>
      </c>
    </row>
    <row r="10" ht="34" customHeight="1">
      <c r="A10" s="4" t="n">
        <v>6</v>
      </c>
      <c r="B10" s="4" t="inlineStr">
        <is>
          <t>Referrals received</t>
        </is>
      </c>
      <c r="C10" s="4" t="inlineStr">
        <is>
          <t>Domain dir.</t>
        </is>
      </c>
      <c r="D10" s="4" t="inlineStr">
        <is>
          <t>Referral Tracker tab, M09</t>
        </is>
      </c>
      <c r="E10" s="4" t="inlineStr">
        <is>
          <t>count</t>
        </is>
      </c>
      <c r="F10" s="4" t="inlineStr">
        <is>
          <t>Higher is better</t>
        </is>
      </c>
      <c r="G10" s="36" t="n">
        <v>2</v>
      </c>
      <c r="H10" s="36" t="n">
        <v>0</v>
      </c>
      <c r="I10" s="37" t="n">
        <v>0</v>
      </c>
      <c r="J10" s="37" t="n">
        <v>1</v>
      </c>
      <c r="K10" s="37" t="n">
        <v>1</v>
      </c>
      <c r="L10" s="38" t="n"/>
      <c r="M10" s="38" t="n"/>
      <c r="N10" s="38" t="n"/>
      <c r="O10" s="38" t="n"/>
      <c r="P10" s="38" t="n"/>
      <c r="Q10" s="38" t="n"/>
      <c r="R10" s="38" t="n"/>
      <c r="S10" s="38" t="n"/>
      <c r="T10" s="38" t="n"/>
      <c r="U10" s="38" t="n"/>
      <c r="V10" s="39">
        <f>IF(COUNTA(I10:U10)=0,"",INDEX(I10:U10,1,COUNTA(I10:U10)))</f>
        <v/>
      </c>
      <c r="W10" s="40">
        <f>IF(COUNTA(I10:U10)&lt;2,"",IF(V10&gt;INDEX(I10:U10,1,COUNTA(I10:U10)-1),"▲",IF(V10&lt;INDEX(I10:U10,1,COUNTA(I10:U10)-1),"▼","►")))</f>
        <v/>
      </c>
      <c r="X10" s="41">
        <f>IF(V10="","",IF(F10="Higher is better",IF(V10&gt;=G10,"Green",IF(V10&lt;=H10,"Red","Amber")),IF(V10&lt;=G10,"Green",IF(V10&gt;=H10,"Red","Amber"))))</f>
        <v/>
      </c>
      <c r="Y10" s="42" t="inlineStr">
        <is>
          <t>M13 states this row as 'asked / received', goal 5 / 2. One cell cannot RAG two numbers, so the scored number is RECEIVED; asks are counted on the Referral Tracker (goal 5, red 2) and read alongside.</t>
        </is>
      </c>
    </row>
    <row r="11" ht="34" customHeight="1">
      <c r="A11" s="4" t="n">
        <v>7</v>
      </c>
      <c r="B11" s="4" t="inlineStr">
        <is>
          <t>WhatsApp reply rate</t>
        </is>
      </c>
      <c r="C11" s="4" t="inlineStr">
        <is>
          <t>Third dir.</t>
        </is>
      </c>
      <c r="D11" s="4" t="inlineStr">
        <is>
          <t>WhatsApp Business → Stats; replies within 48h ÷ recipients</t>
        </is>
      </c>
      <c r="E11" s="4" t="inlineStr">
        <is>
          <t>%</t>
        </is>
      </c>
      <c r="F11" s="4" t="inlineStr">
        <is>
          <t>Higher is better</t>
        </is>
      </c>
      <c r="G11" s="46" t="n">
        <v>0.4</v>
      </c>
      <c r="H11" s="46" t="n">
        <v>0.2</v>
      </c>
      <c r="I11" s="47" t="n">
        <v>0.31</v>
      </c>
      <c r="J11" s="47" t="n">
        <v>0.28</v>
      </c>
      <c r="K11" s="47" t="n">
        <v>0.4</v>
      </c>
      <c r="L11" s="48" t="n"/>
      <c r="M11" s="48" t="n"/>
      <c r="N11" s="48" t="n"/>
      <c r="O11" s="48" t="n"/>
      <c r="P11" s="48" t="n"/>
      <c r="Q11" s="48" t="n"/>
      <c r="R11" s="48" t="n"/>
      <c r="S11" s="48" t="n"/>
      <c r="T11" s="48" t="n"/>
      <c r="U11" s="48" t="n"/>
      <c r="V11" s="49">
        <f>IF(COUNTA(I11:U11)=0,"",INDEX(I11:U11,1,COUNTA(I11:U11)))</f>
        <v/>
      </c>
      <c r="W11" s="40">
        <f>IF(COUNTA(I11:U11)&lt;2,"",IF(V11&gt;INDEX(I11:U11,1,COUNTA(I11:U11)-1),"▲",IF(V11&lt;INDEX(I11:U11,1,COUNTA(I11:U11)-1),"▼","►")))</f>
        <v/>
      </c>
      <c r="X11" s="41">
        <f>IF(V11="","",IF(F11="Higher is better",IF(V11&gt;=G11,"Green",IF(V11&lt;=H11,"Red","Amber")),IF(V11&lt;=G11,"Green",IF(V11&gt;=H11,"Red","Amber"))))</f>
        <v/>
      </c>
      <c r="Y11" s="42" t="inlineStr">
        <is>
          <t>Computed on the Content Calendar tab.</t>
        </is>
      </c>
    </row>
    <row r="12" ht="34" customHeight="1">
      <c r="A12" s="4" t="n">
        <v>8</v>
      </c>
      <c r="B12" s="4" t="inlineStr">
        <is>
          <t>CAC by channel — best channel, rolling 90 days</t>
        </is>
      </c>
      <c r="C12" s="4" t="inlineStr">
        <is>
          <t>CEO</t>
        </is>
      </c>
      <c r="D12" s="4" t="inlineStr">
        <is>
          <t>CAC &amp; Payback tab</t>
        </is>
      </c>
      <c r="E12" s="4" t="inlineStr">
        <is>
          <t>₹</t>
        </is>
      </c>
      <c r="F12" s="4" t="inlineStr">
        <is>
          <t>Lower is better</t>
        </is>
      </c>
      <c r="G12" s="50" t="n">
        <v>8000</v>
      </c>
      <c r="H12" s="50" t="n">
        <v>20000</v>
      </c>
      <c r="I12" s="29" t="n"/>
      <c r="J12" s="29" t="n"/>
      <c r="K12" s="29" t="n"/>
      <c r="L12" s="29" t="n"/>
      <c r="M12" s="29" t="n"/>
      <c r="N12" s="29" t="n"/>
      <c r="O12" s="29" t="n"/>
      <c r="P12" s="29" t="n"/>
      <c r="Q12" s="29" t="n"/>
      <c r="R12" s="29" t="n"/>
      <c r="S12" s="29" t="n"/>
      <c r="T12" s="29" t="n"/>
      <c r="U12" s="29" t="n"/>
      <c r="V12" s="51">
        <f>IF(COUNTA(I12:U12)=0,"",INDEX(I12:U12,1,COUNTA(I12:U12)))</f>
        <v/>
      </c>
      <c r="W12" s="40">
        <f>IF(COUNTA(I12:U12)&lt;2,"",IF(V12&gt;INDEX(I12:U12,1,COUNTA(I12:U12)-1),"▲",IF(V12&lt;INDEX(I12:U12,1,COUNTA(I12:U12)-1),"▼","►")))</f>
        <v/>
      </c>
      <c r="X12" s="41">
        <f>IF(V12="","",IF(F12="Higher is better",IF(V12&gt;=G12,"Green",IF(V12&lt;=H12,"Red","Amber")),IF(V12&lt;=G12,"Green",IF(V12&gt;=H12,"Red","Amber"))))</f>
        <v/>
      </c>
      <c r="Y12" s="42" t="inlineStr">
        <is>
          <t>The only lagging row; the seven above exist to move it. Blank until a channel has ≥3 paying dealers.</t>
        </is>
      </c>
    </row>
    <row r="14" ht="56" customHeight="1">
      <c r="A14" s="12" t="inlineStr">
        <is>
          <t>Rules that make this sheet worth filling: eight rows, no more (HC8) — a ninth number means one of these eight is not earning its place. History is never overwritten; a wrong number is corrected in place with a note, not erased. On track / off track only at the huddle — the argument belongs at the 10:00 ops meeting. Rows 1–7 are controllable inputs you can move this week; row 8 is the lagging number they exist for. If a marketing number and a COO number disagree, CEO lesson 17 §6.6 wins and this sheet is wrong.</t>
        </is>
      </c>
    </row>
  </sheetData>
  <mergeCells count="1">
    <mergeCell ref="A14:Y14"/>
  </mergeCells>
  <conditionalFormatting sqref="X5:X12">
    <cfRule type="cellIs" priority="1" operator="equal" dxfId="0">
      <formula>"Red"</formula>
    </cfRule>
    <cfRule type="cellIs" priority="2" operator="equal" dxfId="1">
      <formula>"Amber"</formula>
    </cfRule>
    <cfRule type="cellIs" priority="3" operator="equal" dxfId="2">
      <formula>"Green"</formula>
    </cfRule>
  </conditionalFormatting>
  <dataValidations count="3">
    <dataValidation sqref="F5:F12" showDropDown="0" showInputMessage="0" showErrorMessage="1" allowBlank="1" errorTitle="Pick from list" error="Please pick a value from the dropdown." type="list">
      <formula1>"Higher is better,Lower is better"</formula1>
    </dataValidation>
    <dataValidation sqref="C5:C12" showDropDown="0" showInputMessage="0" showErrorMessage="1" allowBlank="1" errorTitle="Pick from list" error="Please pick a value from the dropdown." type="list">
      <formula1>"CEO,Domain dir.,Third dir."</formula1>
    </dataValidation>
    <dataValidation sqref="E5:E12" showDropDown="0" showInputMessage="0" showErrorMessage="1" allowBlank="1" errorTitle="Pick from list" error="Please pick a value from the dropdown." type="list">
      <formula1>"count,%,₹,ratio,days,hours"</formula1>
    </dataValidation>
  </dataValidations>
  <pageMargins left="0.75" right="0.75" top="1" bottom="1" header="0.5" footer="0.5"/>
</worksheet>
</file>

<file path=xl/worksheets/sheet5.xml><?xml version="1.0" encoding="utf-8"?>
<worksheet xmlns="http://schemas.openxmlformats.org/spreadsheetml/2006/main">
  <sheetPr>
    <tabColor rgb="00475569"/>
    <outlinePr summaryBelow="1" summaryRight="1"/>
    <pageSetUpPr/>
  </sheetPr>
  <dimension ref="A1:L39"/>
  <sheetViews>
    <sheetView workbookViewId="0">
      <pane ySplit="5" topLeftCell="A6" activePane="bottomLeft" state="frozen"/>
      <selection pane="bottomLeft" activeCell="A1" sqref="A1"/>
    </sheetView>
  </sheetViews>
  <sheetFormatPr baseColWidth="8" defaultRowHeight="15"/>
  <cols>
    <col width="30" customWidth="1" min="1" max="1"/>
    <col width="16" customWidth="1" min="2" max="2"/>
    <col width="14" customWidth="1" min="3" max="3"/>
    <col width="17" customWidth="1" min="4" max="4"/>
    <col width="15" customWidth="1" min="5" max="5"/>
    <col width="17" customWidth="1" min="6" max="6"/>
    <col width="15" customWidth="1" min="7" max="7"/>
    <col width="14" customWidth="1" min="8" max="8"/>
    <col width="14" customWidth="1" min="9" max="9"/>
    <col width="15" customWidth="1" min="10" max="10"/>
    <col width="22" customWidth="1" min="11" max="11"/>
    <col width="40" customWidth="1" min="12" max="12"/>
  </cols>
  <sheetData>
    <row r="1" ht="23" customHeight="1">
      <c r="A1" s="1" t="inlineStr">
        <is>
          <t>CAC &amp; Payback — what each channel cost per paying dealer, and how long it takes to earn back</t>
        </is>
      </c>
    </row>
    <row r="2" ht="26" customHeight="1">
      <c r="A2" s="2" t="inlineStr">
        <is>
          <t>Fills M13 §B–D. One row per channel per quarter; never a row called 'marketing'. Founder hours are time-boxed and logged the same day — leave them out and the cheapest-looking channel is the one that ate 68 hours. Travel is kept separate so channels compare. A CAC is real at ≥3 paying dealers, not before. Every figure below is illustrative — VERIFY LIVE.</t>
        </is>
      </c>
    </row>
    <row r="4">
      <c r="A4" s="13" t="inlineStr">
        <is>
          <t>A. House inputs — set once a year, never mid-quarter</t>
        </is>
      </c>
      <c r="B4" s="14" t="n"/>
      <c r="C4" s="14" t="n"/>
      <c r="D4" s="14" t="n"/>
      <c r="E4" s="14" t="n"/>
      <c r="F4" s="14" t="n"/>
      <c r="G4" s="14" t="n"/>
      <c r="H4" s="14" t="n"/>
      <c r="I4" s="14" t="n"/>
      <c r="J4" s="14" t="n"/>
      <c r="K4" s="14" t="n"/>
      <c r="L4" s="14" t="n"/>
    </row>
    <row r="5" ht="30" customHeight="1">
      <c r="A5" s="3" t="inlineStr">
        <is>
          <t>Input</t>
        </is>
      </c>
      <c r="B5" s="3" t="inlineStr">
        <is>
          <t>Value</t>
        </is>
      </c>
      <c r="C5" s="3" t="inlineStr">
        <is>
          <t>Unit</t>
        </is>
      </c>
      <c r="D5" s="3" t="inlineStr"/>
      <c r="E5" s="3" t="inlineStr"/>
      <c r="F5" s="3" t="inlineStr"/>
      <c r="G5" s="3" t="inlineStr"/>
      <c r="H5" s="3" t="inlineStr"/>
      <c r="I5" s="3" t="inlineStr"/>
      <c r="J5" s="3" t="inlineStr"/>
      <c r="K5" s="3" t="inlineStr"/>
      <c r="L5" s="3" t="inlineStr">
        <is>
          <t>How to set it honestly</t>
        </is>
      </c>
    </row>
    <row r="6" ht="46" customHeight="1">
      <c r="A6" s="15" t="inlineStr">
        <is>
          <t>Imputed founder rate</t>
        </is>
      </c>
      <c r="B6" s="28" t="n">
        <v>400</v>
      </c>
      <c r="C6" s="15" t="inlineStr">
        <is>
          <t>₹/hour</t>
        </is>
      </c>
      <c r="L6" s="15" t="inlineStr">
        <is>
          <t>(₹30,000 salary + ~₹8,000 travel/phone for the field associate we would hire instead) ÷ 22 days ÷ 8 h ≈ ₹216, DOUBLED because the founder also demos, prices and closes. House rule ₹400. VERIFY LIVE against Raipur associate comp (HC1). Move it at quarterly planning only, or CAC moves for reasons unrelated to marketing.</t>
        </is>
      </c>
    </row>
    <row r="7">
      <c r="A7" s="15" t="inlineStr">
        <is>
          <t>MRR this month</t>
        </is>
      </c>
      <c r="B7" s="28" t="n">
        <v>10500</v>
      </c>
      <c r="C7" s="15" t="inlineStr">
        <is>
          <t>₹</t>
        </is>
      </c>
      <c r="L7" s="15" t="inlineStr">
        <is>
          <t>Billed and collected, ex-GST. Not signed, not promised.</t>
        </is>
      </c>
    </row>
    <row r="8">
      <c r="A8" s="15" t="inlineStr">
        <is>
          <t>Paying GSTINs</t>
        </is>
      </c>
      <c r="B8" s="37" t="n">
        <v>7</v>
      </c>
      <c r="C8" s="15" t="inlineStr">
        <is>
          <t>count</t>
        </is>
      </c>
      <c r="L8" s="15" t="inlineStr">
        <is>
          <t>The billing unit. Users, staff and drivers are unlimited and free.</t>
        </is>
      </c>
    </row>
    <row r="9">
      <c r="A9" s="4" t="inlineStr">
        <is>
          <t>ARPA (₹/month per paying GSTIN)</t>
        </is>
      </c>
      <c r="B9" s="52">
        <f>IF(B8=0,"",B7/B8)</f>
        <v/>
      </c>
      <c r="C9" s="4" t="inlineStr">
        <is>
          <t>₹</t>
        </is>
      </c>
      <c r="L9" s="4" t="inlineStr">
        <is>
          <t>≈ ₹1,500 ex-GST on a mid-skewed mix of ₹599 / ₹1,799 / ₹4,999 + Enterprise — VERIFY LIVE, owner sign-off pending.</t>
        </is>
      </c>
    </row>
    <row r="10">
      <c r="A10" s="15" t="inlineStr">
        <is>
          <t>Gross margin</t>
        </is>
      </c>
      <c r="B10" s="47" t="n">
        <v>0.8</v>
      </c>
      <c r="C10" s="15" t="inlineStr">
        <is>
          <t>%</t>
        </is>
      </c>
      <c r="L10" s="15" t="inlineStr">
        <is>
          <t>(revenue − cost to serve) ÷ revenue. Cost to serve is OTP, hosting and support. 80% is the working assumption; CEO-Docs C12 owns the real number.</t>
        </is>
      </c>
    </row>
    <row r="11">
      <c r="A11" s="4" t="inlineStr">
        <is>
          <t>Gross profit per dealer per month</t>
        </is>
      </c>
      <c r="B11" s="52">
        <f>IF(B9="","",B9*B10)</f>
        <v/>
      </c>
      <c r="C11" s="4" t="inlineStr">
        <is>
          <t>₹</t>
        </is>
      </c>
      <c r="L11" s="4" t="inlineStr">
        <is>
          <t>≈ ₹1,200. This is what actually pays back the acquisition — never use revenue.</t>
        </is>
      </c>
    </row>
    <row r="13">
      <c r="A13" s="13" t="inlineStr">
        <is>
          <t>B. Spend by channel, this quarter — and what each dealer from it cost</t>
        </is>
      </c>
      <c r="B13" s="14" t="n"/>
      <c r="C13" s="14" t="n"/>
      <c r="D13" s="14" t="n"/>
      <c r="E13" s="14" t="n"/>
      <c r="F13" s="14" t="n"/>
      <c r="G13" s="14" t="n"/>
      <c r="H13" s="14" t="n"/>
      <c r="I13" s="14" t="n"/>
      <c r="J13" s="14" t="n"/>
      <c r="K13" s="14" t="n"/>
      <c r="L13" s="14" t="n"/>
    </row>
    <row r="14" ht="30" customHeight="1">
      <c r="A14" s="3" t="inlineStr">
        <is>
          <t>Channel</t>
        </is>
      </c>
      <c r="B14" s="3" t="inlineStr">
        <is>
          <t>Cash spend ₹</t>
        </is>
      </c>
      <c r="C14" s="3" t="inlineStr">
        <is>
          <t>Founder hours</t>
        </is>
      </c>
      <c r="D14" s="3" t="inlineStr">
        <is>
          <t>Imputed founder cost ₹</t>
        </is>
      </c>
      <c r="E14" s="3" t="inlineStr">
        <is>
          <t>Travel &amp; fuel ₹</t>
        </is>
      </c>
      <c r="F14" s="3" t="inlineStr">
        <is>
          <t>Total channel cost ₹</t>
        </is>
      </c>
      <c r="G14" s="3" t="inlineStr">
        <is>
          <t>New paying dealers</t>
        </is>
      </c>
      <c r="H14" s="3" t="inlineStr">
        <is>
          <t>CAC ₹</t>
        </is>
      </c>
      <c r="I14" s="3" t="inlineStr">
        <is>
          <t>Free months given</t>
        </is>
      </c>
      <c r="J14" s="3" t="inlineStr">
        <is>
          <t>Payback (months)</t>
        </is>
      </c>
      <c r="K14" s="3" t="inlineStr">
        <is>
          <t>Real yet? (≥3 dealers)</t>
        </is>
      </c>
      <c r="L14" s="3" t="inlineStr">
        <is>
          <t>Note</t>
        </is>
      </c>
    </row>
    <row r="15" ht="32" customHeight="1">
      <c r="A15" s="15" t="inlineStr">
        <is>
          <t>Referral (Dealer Dost)</t>
        </is>
      </c>
      <c r="B15" s="28" t="n">
        <v>6000</v>
      </c>
      <c r="C15" s="16" t="n">
        <v>24</v>
      </c>
      <c r="D15" s="53">
        <f>IF(C15="","",C15*$B$6)</f>
        <v/>
      </c>
      <c r="E15" s="28" t="n">
        <v>1250</v>
      </c>
      <c r="F15" s="53">
        <f>IF(COUNT(B15,D15,E15)=0,"",N(B15)+N(D15)+N(E15))</f>
        <v/>
      </c>
      <c r="G15" s="16" t="n">
        <v>3</v>
      </c>
      <c r="H15" s="53">
        <f>IF(OR(F15="",G15="",G15=0),"",F15/G15)</f>
        <v/>
      </c>
      <c r="I15" s="16" t="n">
        <v>2</v>
      </c>
      <c r="J15" s="54">
        <f>IF(OR(H15="",$B$11="",$B$11=0),"",H15/$B$11+N(I15))</f>
        <v/>
      </c>
      <c r="K15" s="18">
        <f>IF(G15="","",IF(G15&gt;=3,"Yes — decide on it","No — not a CAC yet"))</f>
        <v/>
      </c>
      <c r="L15" s="15" t="inlineStr">
        <is>
          <t>₹6,000 of bounties, 24 h of asks and follow-ups, ₹1,250 of travel. Two free months given, which cut gross profit — so they land on payback, not on CAC.</t>
        </is>
      </c>
    </row>
    <row r="16" ht="32" customHeight="1">
      <c r="A16" s="15" t="inlineStr">
        <is>
          <t>OMC intro (IOCL territory manager)</t>
        </is>
      </c>
      <c r="B16" s="28" t="n">
        <v>2000</v>
      </c>
      <c r="C16" s="16" t="n">
        <v>68</v>
      </c>
      <c r="D16" s="53">
        <f>IF(C16="","",C16*$B$6)</f>
        <v/>
      </c>
      <c r="E16" s="28" t="n">
        <v>3700</v>
      </c>
      <c r="F16" s="53">
        <f>IF(COUNT(B16,D16,E16)=0,"",N(B16)+N(D16)+N(E16))</f>
        <v/>
      </c>
      <c r="G16" s="16" t="n">
        <v>2</v>
      </c>
      <c r="H16" s="53">
        <f>IF(OR(F16="",G16="",G16=0),"",F16/G16)</f>
        <v/>
      </c>
      <c r="I16" s="16" t="n">
        <v>0</v>
      </c>
      <c r="J16" s="54">
        <f>IF(OR(H16="",$B$11="",$B$11=0),"",H16/$B$11+N(I16))</f>
        <v/>
      </c>
      <c r="K16" s="18">
        <f>IF(G16="","",IF(G16&gt;=3,"Yes — decide on it","No — not a CAC yet"))</f>
        <v/>
      </c>
      <c r="L16" s="15" t="inlineStr">
        <is>
          <t>Almost entirely founder time. The relationship is real; the hours are the cost nobody writes down.</t>
        </is>
      </c>
    </row>
    <row r="17" ht="32" customHeight="1">
      <c r="A17" s="15" t="inlineStr">
        <is>
          <t>Field visits (cold, in-cluster)</t>
        </is>
      </c>
      <c r="B17" s="28" t="n">
        <v>1000</v>
      </c>
      <c r="C17" s="16" t="n">
        <v>62</v>
      </c>
      <c r="D17" s="53">
        <f>IF(C17="","",C17*$B$6)</f>
        <v/>
      </c>
      <c r="E17" s="28" t="n">
        <v>5600</v>
      </c>
      <c r="F17" s="53">
        <f>IF(COUNT(B17,D17,E17)=0,"",N(B17)+N(D17)+N(E17))</f>
        <v/>
      </c>
      <c r="G17" s="16" t="n">
        <v>2</v>
      </c>
      <c r="H17" s="53">
        <f>IF(OR(F17="",G17="",G17=0),"",F17/G17)</f>
        <v/>
      </c>
      <c r="I17" s="16" t="n">
        <v>0</v>
      </c>
      <c r="J17" s="54">
        <f>IF(OR(H17="",$B$11="",$B$11=0),"",H17/$B$11+N(I17))</f>
        <v/>
      </c>
      <c r="K17" s="18">
        <f>IF(G17="","",IF(G17&gt;=3,"Yes — decide on it","No — not a CAC yet"))</f>
        <v/>
      </c>
      <c r="L17" s="15" t="inlineStr">
        <is>
          <t>The honest floor for walking in. Compare it against referral before you plan another week of it.</t>
        </is>
      </c>
    </row>
    <row r="18" ht="32" customHeight="1">
      <c r="A18" s="20" t="inlineStr">
        <is>
          <t>Association / Dealer Day</t>
        </is>
      </c>
      <c r="B18" s="29" t="inlineStr"/>
      <c r="C18" s="21" t="inlineStr"/>
      <c r="D18" s="52">
        <f>IF(C18="","",C18*$B$6)</f>
        <v/>
      </c>
      <c r="E18" s="29" t="inlineStr"/>
      <c r="F18" s="52">
        <f>IF(COUNT(B18,D18,E18)=0,"",N(B18)+N(D18)+N(E18))</f>
        <v/>
      </c>
      <c r="G18" s="21" t="inlineStr"/>
      <c r="H18" s="52">
        <f>IF(OR(F18="",G18="",G18=0),"",F18/G18)</f>
        <v/>
      </c>
      <c r="I18" s="21" t="inlineStr"/>
      <c r="J18" s="32">
        <f>IF(OR(H18="",$B$11="",$B$11=0),"",H18/$B$11+N(I18))</f>
        <v/>
      </c>
      <c r="K18" s="23">
        <f>IF(G18="","",IF(G18&gt;=3,"Yes — decide on it","No — not a CAC yet"))</f>
        <v/>
      </c>
      <c r="L18" s="20" t="inlineStr"/>
    </row>
    <row r="19" ht="32" customHeight="1">
      <c r="A19" s="20" t="inlineStr">
        <is>
          <t>CA / tax consultant</t>
        </is>
      </c>
      <c r="B19" s="29" t="inlineStr"/>
      <c r="C19" s="21" t="inlineStr"/>
      <c r="D19" s="52">
        <f>IF(C19="","",C19*$B$6)</f>
        <v/>
      </c>
      <c r="E19" s="29" t="inlineStr"/>
      <c r="F19" s="52">
        <f>IF(COUNT(B19,D19,E19)=0,"",N(B19)+N(D19)+N(E19))</f>
        <v/>
      </c>
      <c r="G19" s="21" t="inlineStr"/>
      <c r="H19" s="52">
        <f>IF(OR(F19="",G19="",G19=0),"",F19/G19)</f>
        <v/>
      </c>
      <c r="I19" s="21" t="inlineStr"/>
      <c r="J19" s="32">
        <f>IF(OR(H19="",$B$11="",$B$11=0),"",H19/$B$11+N(I19))</f>
        <v/>
      </c>
      <c r="K19" s="23">
        <f>IF(G19="","",IF(G19&gt;=3,"Yes — decide on it","No — not a CAC yet"))</f>
        <v/>
      </c>
      <c r="L19" s="20" t="inlineStr"/>
    </row>
    <row r="20" ht="32" customHeight="1">
      <c r="A20" s="20" t="inlineStr">
        <is>
          <t>WhatsApp / content</t>
        </is>
      </c>
      <c r="B20" s="29" t="inlineStr"/>
      <c r="C20" s="21" t="inlineStr"/>
      <c r="D20" s="52">
        <f>IF(C20="","",C20*$B$6)</f>
        <v/>
      </c>
      <c r="E20" s="29" t="inlineStr"/>
      <c r="F20" s="52">
        <f>IF(COUNT(B20,D20,E20)=0,"",N(B20)+N(D20)+N(E20))</f>
        <v/>
      </c>
      <c r="G20" s="21" t="inlineStr"/>
      <c r="H20" s="52">
        <f>IF(OR(F20="",G20="",G20=0),"",F20/G20)</f>
        <v/>
      </c>
      <c r="I20" s="21" t="inlineStr"/>
      <c r="J20" s="32">
        <f>IF(OR(H20="",$B$11="",$B$11=0),"",H20/$B$11+N(I20))</f>
        <v/>
      </c>
      <c r="K20" s="23">
        <f>IF(G20="","",IF(G20&gt;=3,"Yes — decide on it","No — not a CAC yet"))</f>
        <v/>
      </c>
      <c r="L20" s="20" t="inlineStr"/>
    </row>
    <row r="21" ht="32" customHeight="1">
      <c r="A21" s="20" t="inlineStr">
        <is>
          <t>Inbound (site, Play Store, GBP)</t>
        </is>
      </c>
      <c r="B21" s="29" t="inlineStr"/>
      <c r="C21" s="21" t="inlineStr"/>
      <c r="D21" s="52">
        <f>IF(C21="","",C21*$B$6)</f>
        <v/>
      </c>
      <c r="E21" s="29" t="inlineStr"/>
      <c r="F21" s="52">
        <f>IF(COUNT(B21,D21,E21)=0,"",N(B21)+N(D21)+N(E21))</f>
        <v/>
      </c>
      <c r="G21" s="21" t="inlineStr"/>
      <c r="H21" s="52">
        <f>IF(OR(F21="",G21="",G21=0),"",F21/G21)</f>
        <v/>
      </c>
      <c r="I21" s="21" t="inlineStr"/>
      <c r="J21" s="32">
        <f>IF(OR(H21="",$B$11="",$B$11=0),"",H21/$B$11+N(I21))</f>
        <v/>
      </c>
      <c r="K21" s="23">
        <f>IF(G21="","",IF(G21&gt;=3,"Yes — decide on it","No — not a CAC yet"))</f>
        <v/>
      </c>
      <c r="L21" s="20" t="inlineStr"/>
    </row>
    <row r="22" ht="32" customHeight="1">
      <c r="A22" s="55" t="inlineStr">
        <is>
          <t>BLENDED — sanity check only, never a decision</t>
        </is>
      </c>
      <c r="B22" s="56">
        <f>SUM(B15:B21)</f>
        <v/>
      </c>
      <c r="C22" s="57">
        <f>SUM(C15:C21)</f>
        <v/>
      </c>
      <c r="D22" s="56">
        <f>SUM(D15:D21)</f>
        <v/>
      </c>
      <c r="E22" s="56">
        <f>SUM(E15:E21)</f>
        <v/>
      </c>
      <c r="F22" s="56">
        <f>SUM(F15:F21)</f>
        <v/>
      </c>
      <c r="G22" s="57">
        <f>SUM(G15:G21)</f>
        <v/>
      </c>
      <c r="H22" s="56">
        <f>IF(G22=0,"",F22/G22)</f>
        <v/>
      </c>
      <c r="I22" s="55" t="inlineStr"/>
      <c r="J22" s="58">
        <f>IF(OR(H22="",$B$11="",$B$11=0),"",H22/$B$11)</f>
        <v/>
      </c>
      <c r="K22" s="55" t="inlineStr"/>
      <c r="L22" s="55" t="inlineStr">
        <is>
          <t>Blended CAC moves when the MIX moves — a quarter with more referrals looks like a quarter where you got better at marketing. It cannot tell you which channel to feed.</t>
        </is>
      </c>
    </row>
    <row r="24">
      <c r="A24" s="13" t="inlineStr">
        <is>
          <t>C. Monthly channel review — first Monday, 45 minutes, one verdict per channel</t>
        </is>
      </c>
      <c r="B24" s="14" t="n"/>
      <c r="C24" s="14" t="n"/>
      <c r="D24" s="14" t="n"/>
      <c r="E24" s="14" t="n"/>
      <c r="F24" s="14" t="n"/>
      <c r="G24" s="14" t="n"/>
      <c r="H24" s="14" t="n"/>
      <c r="I24" s="14" t="n"/>
      <c r="J24" s="14" t="n"/>
      <c r="K24" s="14" t="n"/>
      <c r="L24" s="14" t="n"/>
    </row>
    <row r="25" ht="30" customHeight="1">
      <c r="A25" s="3" t="inlineStr">
        <is>
          <t>Channel</t>
        </is>
      </c>
      <c r="B25" s="3" t="inlineStr">
        <is>
          <t>CAC ₹</t>
        </is>
      </c>
      <c r="C25" s="3" t="inlineStr">
        <is>
          <t>× blended</t>
        </is>
      </c>
      <c r="D25" s="3" t="inlineStr">
        <is>
          <t>Paying dealers</t>
        </is>
      </c>
      <c r="E25" s="3" t="inlineStr">
        <is>
          <t>Payback (months)</t>
        </is>
      </c>
      <c r="F25" s="3" t="inlineStr">
        <is>
          <t>Suggested verdict</t>
        </is>
      </c>
      <c r="G25" s="3" t="inlineStr">
        <is>
          <t>Decided verdict</t>
        </is>
      </c>
      <c r="H25" s="3" t="inlineStr">
        <is>
          <t>Reason — required, written in the cell</t>
        </is>
      </c>
      <c r="I25" s="3" t="inlineStr"/>
      <c r="J25" s="3" t="inlineStr"/>
      <c r="K25" s="3" t="inlineStr"/>
      <c r="L25" s="3" t="inlineStr"/>
    </row>
    <row r="26">
      <c r="A26" s="23">
        <f>A15</f>
        <v/>
      </c>
      <c r="B26" s="52">
        <f>H15</f>
        <v/>
      </c>
      <c r="C26" s="59">
        <f>IF(OR(H15="",$H$22="",$H$22=0),"",H15/$H$22)</f>
        <v/>
      </c>
      <c r="D26" s="22">
        <f>G15</f>
        <v/>
      </c>
      <c r="E26" s="32">
        <f>J15</f>
        <v/>
      </c>
      <c r="F26" s="23">
        <f>IF(OR(H15="",G15=0),"no data yet",IF(H15&gt;2*$H$22,"KILL candidate",IF(AND(H15&lt;=$H$22,G15&gt;=3),"SCALE candidate","KEEP")))</f>
        <v/>
      </c>
      <c r="G26" s="20" t="inlineStr"/>
      <c r="H26" s="20" t="inlineStr"/>
      <c r="I26" s="26" t="n"/>
      <c r="J26" s="26" t="n"/>
      <c r="K26" s="26" t="n"/>
      <c r="L26" s="27" t="n"/>
    </row>
    <row r="27">
      <c r="A27" s="23">
        <f>A16</f>
        <v/>
      </c>
      <c r="B27" s="52">
        <f>H16</f>
        <v/>
      </c>
      <c r="C27" s="59">
        <f>IF(OR(H16="",$H$22="",$H$22=0),"",H16/$H$22)</f>
        <v/>
      </c>
      <c r="D27" s="22">
        <f>G16</f>
        <v/>
      </c>
      <c r="E27" s="32">
        <f>J16</f>
        <v/>
      </c>
      <c r="F27" s="23">
        <f>IF(OR(H16="",G16=0),"no data yet",IF(H16&gt;2*$H$22,"KILL candidate",IF(AND(H16&lt;=$H$22,G16&gt;=3),"SCALE candidate","KEEP")))</f>
        <v/>
      </c>
      <c r="G27" s="20" t="inlineStr"/>
      <c r="H27" s="20" t="inlineStr"/>
      <c r="I27" s="26" t="n"/>
      <c r="J27" s="26" t="n"/>
      <c r="K27" s="26" t="n"/>
      <c r="L27" s="27" t="n"/>
    </row>
    <row r="28">
      <c r="A28" s="23">
        <f>A17</f>
        <v/>
      </c>
      <c r="B28" s="52">
        <f>H17</f>
        <v/>
      </c>
      <c r="C28" s="59">
        <f>IF(OR(H17="",$H$22="",$H$22=0),"",H17/$H$22)</f>
        <v/>
      </c>
      <c r="D28" s="22">
        <f>G17</f>
        <v/>
      </c>
      <c r="E28" s="32">
        <f>J17</f>
        <v/>
      </c>
      <c r="F28" s="23">
        <f>IF(OR(H17="",G17=0),"no data yet",IF(H17&gt;2*$H$22,"KILL candidate",IF(AND(H17&lt;=$H$22,G17&gt;=3),"SCALE candidate","KEEP")))</f>
        <v/>
      </c>
      <c r="G28" s="20" t="inlineStr"/>
      <c r="H28" s="20" t="inlineStr"/>
      <c r="I28" s="26" t="n"/>
      <c r="J28" s="26" t="n"/>
      <c r="K28" s="26" t="n"/>
      <c r="L28" s="27" t="n"/>
    </row>
    <row r="29">
      <c r="A29" s="23">
        <f>A18</f>
        <v/>
      </c>
      <c r="B29" s="52">
        <f>H18</f>
        <v/>
      </c>
      <c r="C29" s="59">
        <f>IF(OR(H18="",$H$22="",$H$22=0),"",H18/$H$22)</f>
        <v/>
      </c>
      <c r="D29" s="22">
        <f>G18</f>
        <v/>
      </c>
      <c r="E29" s="32">
        <f>J18</f>
        <v/>
      </c>
      <c r="F29" s="23">
        <f>IF(OR(H18="",G18=0),"no data yet",IF(H18&gt;2*$H$22,"KILL candidate",IF(AND(H18&lt;=$H$22,G18&gt;=3),"SCALE candidate","KEEP")))</f>
        <v/>
      </c>
      <c r="G29" s="20" t="inlineStr"/>
      <c r="H29" s="20" t="inlineStr"/>
      <c r="I29" s="26" t="n"/>
      <c r="J29" s="26" t="n"/>
      <c r="K29" s="26" t="n"/>
      <c r="L29" s="27" t="n"/>
    </row>
    <row r="30">
      <c r="A30" s="23">
        <f>A19</f>
        <v/>
      </c>
      <c r="B30" s="52">
        <f>H19</f>
        <v/>
      </c>
      <c r="C30" s="59">
        <f>IF(OR(H19="",$H$22="",$H$22=0),"",H19/$H$22)</f>
        <v/>
      </c>
      <c r="D30" s="22">
        <f>G19</f>
        <v/>
      </c>
      <c r="E30" s="32">
        <f>J19</f>
        <v/>
      </c>
      <c r="F30" s="23">
        <f>IF(OR(H19="",G19=0),"no data yet",IF(H19&gt;2*$H$22,"KILL candidate",IF(AND(H19&lt;=$H$22,G19&gt;=3),"SCALE candidate","KEEP")))</f>
        <v/>
      </c>
      <c r="G30" s="20" t="inlineStr"/>
      <c r="H30" s="20" t="inlineStr"/>
      <c r="I30" s="26" t="n"/>
      <c r="J30" s="26" t="n"/>
      <c r="K30" s="26" t="n"/>
      <c r="L30" s="27" t="n"/>
    </row>
    <row r="31">
      <c r="A31" s="23">
        <f>A20</f>
        <v/>
      </c>
      <c r="B31" s="52">
        <f>H20</f>
        <v/>
      </c>
      <c r="C31" s="59">
        <f>IF(OR(H20="",$H$22="",$H$22=0),"",H20/$H$22)</f>
        <v/>
      </c>
      <c r="D31" s="22">
        <f>G20</f>
        <v/>
      </c>
      <c r="E31" s="32">
        <f>J20</f>
        <v/>
      </c>
      <c r="F31" s="23">
        <f>IF(OR(H20="",G20=0),"no data yet",IF(H20&gt;2*$H$22,"KILL candidate",IF(AND(H20&lt;=$H$22,G20&gt;=3),"SCALE candidate","KEEP")))</f>
        <v/>
      </c>
      <c r="G31" s="20" t="inlineStr"/>
      <c r="H31" s="20" t="inlineStr"/>
      <c r="I31" s="26" t="n"/>
      <c r="J31" s="26" t="n"/>
      <c r="K31" s="26" t="n"/>
      <c r="L31" s="27" t="n"/>
    </row>
    <row r="32">
      <c r="A32" s="23">
        <f>A21</f>
        <v/>
      </c>
      <c r="B32" s="52">
        <f>H21</f>
        <v/>
      </c>
      <c r="C32" s="59">
        <f>IF(OR(H21="",$H$22="",$H$22=0),"",H21/$H$22)</f>
        <v/>
      </c>
      <c r="D32" s="22">
        <f>G21</f>
        <v/>
      </c>
      <c r="E32" s="32">
        <f>J21</f>
        <v/>
      </c>
      <c r="F32" s="23">
        <f>IF(OR(H21="",G21=0),"no data yet",IF(H21&gt;2*$H$22,"KILL candidate",IF(AND(H21&lt;=$H$22,G21&gt;=3),"SCALE candidate","KEEP")))</f>
        <v/>
      </c>
      <c r="G32" s="20" t="inlineStr"/>
      <c r="H32" s="20" t="inlineStr"/>
      <c r="I32" s="26" t="n"/>
      <c r="J32" s="26" t="n"/>
      <c r="K32" s="26" t="n"/>
      <c r="L32" s="27" t="n"/>
    </row>
    <row r="34" ht="30" customHeight="1">
      <c r="A34" s="3" t="inlineStr">
        <is>
          <t>The verdict rules — a verdict without a rule is a mood</t>
        </is>
      </c>
      <c r="B34" s="3" t="inlineStr"/>
      <c r="C34" s="3" t="inlineStr"/>
      <c r="D34" s="3" t="inlineStr"/>
      <c r="E34" s="3" t="inlineStr"/>
      <c r="F34" s="3" t="inlineStr"/>
      <c r="G34" s="3" t="inlineStr"/>
      <c r="H34" s="3" t="inlineStr"/>
      <c r="I34" s="3" t="inlineStr"/>
      <c r="J34" s="3" t="inlineStr"/>
      <c r="K34" s="3" t="inlineStr"/>
      <c r="L34" s="3" t="inlineStr"/>
    </row>
    <row r="35" ht="30" customHeight="1">
      <c r="A35" s="15" t="inlineStr">
        <is>
          <t>KILL</t>
        </is>
      </c>
      <c r="B35" s="15" t="inlineStr">
        <is>
          <t>Two months above 2× blended CAC with no improving trend. Write the reason in the cell: a killed channel with a reason can be revisited; one that quietly stopped cannot.</t>
        </is>
      </c>
      <c r="C35" s="26" t="n"/>
      <c r="D35" s="26" t="n"/>
      <c r="E35" s="26" t="n"/>
      <c r="F35" s="26" t="n"/>
      <c r="G35" s="26" t="n"/>
      <c r="H35" s="26" t="n"/>
      <c r="I35" s="26" t="n"/>
      <c r="J35" s="26" t="n"/>
      <c r="K35" s="26" t="n"/>
      <c r="L35" s="27" t="n"/>
    </row>
    <row r="36" ht="30" customHeight="1">
      <c r="A36" s="15" t="inlineStr">
        <is>
          <t>KEEP</t>
        </is>
      </c>
      <c r="B36" s="15" t="inlineStr">
        <is>
          <t>At parity with blended. Nothing changes; it stays on the sheet.</t>
        </is>
      </c>
      <c r="C36" s="26" t="n"/>
      <c r="D36" s="26" t="n"/>
      <c r="E36" s="26" t="n"/>
      <c r="F36" s="26" t="n"/>
      <c r="G36" s="26" t="n"/>
      <c r="H36" s="26" t="n"/>
      <c r="I36" s="26" t="n"/>
      <c r="J36" s="26" t="n"/>
      <c r="K36" s="26" t="n"/>
      <c r="L36" s="27" t="n"/>
    </row>
    <row r="37" ht="30" customHeight="1">
      <c r="A37" s="15" t="inlineStr">
        <is>
          <t>SCALE</t>
        </is>
      </c>
      <c r="B37" s="15" t="inlineStr">
        <is>
          <t>Two consecutive reviews beating blended AND ≥3 paying dealers from it. Raise capped at +50% of that line, one channel at a time. HC4's order still binds — no paid ads before ~50 dealers and a landing page with real proof.</t>
        </is>
      </c>
      <c r="C37" s="26" t="n"/>
      <c r="D37" s="26" t="n"/>
      <c r="E37" s="26" t="n"/>
      <c r="F37" s="26" t="n"/>
      <c r="G37" s="26" t="n"/>
      <c r="H37" s="26" t="n"/>
      <c r="I37" s="26" t="n"/>
      <c r="J37" s="26" t="n"/>
      <c r="K37" s="26" t="n"/>
      <c r="L37" s="27" t="n"/>
    </row>
    <row r="39" ht="60" customHeight="1">
      <c r="A39" s="12" t="inlineStr">
        <is>
          <t>Reading the worked example: referral cost ₹16,850 for 3 dealers — CAC ₹5,617, payback 4.7 months, 6.7 after the two free months. The IOCL introduction cost ₹32,900 for 2 — CAC ₹16,450, payback 13.7. Cold field visits cost ₹31,400 for 2 — ₹15,700, payback 13.1. Blended is ₹81,150 ÷ 7 = ₹11,593, which flatters the expensive channels and punishes the cheap one. That is exactly why the decision is taken per channel. Bar for payback: CAC recovered under 12 months. Free months given are added to payback, never to CAC — they cut gross profit, not acquisition cost.</t>
        </is>
      </c>
    </row>
  </sheetData>
  <mergeCells count="11">
    <mergeCell ref="B35:L35"/>
    <mergeCell ref="H27:L27"/>
    <mergeCell ref="H30:L30"/>
    <mergeCell ref="H26:L26"/>
    <mergeCell ref="A39:L39"/>
    <mergeCell ref="H29:L29"/>
    <mergeCell ref="H32:L32"/>
    <mergeCell ref="B37:L37"/>
    <mergeCell ref="H28:L28"/>
    <mergeCell ref="B36:L36"/>
    <mergeCell ref="H31:L31"/>
  </mergeCells>
  <conditionalFormatting sqref="J15:J21">
    <cfRule type="cellIs" priority="1" operator="greaterThan" dxfId="0">
      <formula>12</formula>
    </cfRule>
  </conditionalFormatting>
  <dataValidations count="1">
    <dataValidation sqref="G26:G32" showDropDown="0" showInputMessage="0" showErrorMessage="1" allowBlank="1" errorTitle="Verdict" error="Please pick a value from the dropdown." type="list">
      <formula1>"kill,keep,scale"</formula1>
    </dataValidation>
  </dataValidations>
  <pageMargins left="0.75" right="0.75" top="1" bottom="1" header="0.5" footer="0.5"/>
</worksheet>
</file>

<file path=xl/worksheets/sheet6.xml><?xml version="1.0" encoding="utf-8"?>
<worksheet xmlns="http://schemas.openxmlformats.org/spreadsheetml/2006/main">
  <sheetPr>
    <tabColor rgb="00475569"/>
    <outlinePr summaryBelow="1" summaryRight="1"/>
    <pageSetUpPr/>
  </sheetPr>
  <dimension ref="A1:J70"/>
  <sheetViews>
    <sheetView workbookViewId="0">
      <pane ySplit="5" topLeftCell="A6" activePane="bottomLeft" state="frozen"/>
      <selection pane="bottomLeft" activeCell="A1" sqref="A1"/>
    </sheetView>
  </sheetViews>
  <sheetFormatPr baseColWidth="8" defaultRowHeight="15"/>
  <cols>
    <col width="30" customWidth="1" min="1" max="1"/>
    <col width="18" customWidth="1" min="2" max="2"/>
    <col width="16" customWidth="1" min="3" max="3"/>
    <col width="16" customWidth="1" min="4" max="4"/>
    <col width="13" customWidth="1" min="5" max="5"/>
    <col width="18" customWidth="1" min="6" max="6"/>
    <col width="12" customWidth="1" min="7" max="7"/>
    <col width="44" customWidth="1" min="8" max="8"/>
    <col width="30" customWidth="1" min="9" max="9"/>
    <col width="22" customWidth="1" min="10" max="10"/>
  </cols>
  <sheetData>
    <row r="1" ht="23" customHeight="1">
      <c r="A1" s="1" t="inlineStr">
        <is>
          <t>Campaign Budget — one campaign on one page: brief, budget, weekly log, post-mortem, districts</t>
        </is>
      </c>
    </row>
    <row r="2" ht="26" customHeight="1">
      <c r="A2" s="2" t="inlineStr">
        <is>
          <t>Fills M12. One brief per campaign, signed by all three founders before a rupee is spent. ONE number, X to Y by a date, and queryable. Founder time (~15 h/week × 3) sits OUTSIDE the cash budget and is stated so nobody calls the campaign free. Cash inside ₹30–50k/month while pre-revenue (HC7). Filled here with the Raipur 100 example — every figure illustrative.</t>
        </is>
      </c>
    </row>
    <row r="4">
      <c r="A4" s="13" t="inlineStr">
        <is>
          <t>A. The one-page brief</t>
        </is>
      </c>
      <c r="B4" s="14" t="n"/>
      <c r="C4" s="14" t="n"/>
      <c r="D4" s="14" t="n"/>
      <c r="E4" s="14" t="n"/>
      <c r="F4" s="14" t="n"/>
      <c r="G4" s="14" t="n"/>
      <c r="H4" s="14" t="n"/>
      <c r="I4" s="14" t="n"/>
      <c r="J4" s="14" t="n"/>
    </row>
    <row r="5" ht="30" customHeight="1">
      <c r="A5" s="3" t="inlineStr">
        <is>
          <t>Field</t>
        </is>
      </c>
      <c r="B5" s="3" t="inlineStr">
        <is>
          <t>Fill</t>
        </is>
      </c>
      <c r="C5" s="3" t="inlineStr"/>
      <c r="D5" s="3" t="inlineStr"/>
      <c r="E5" s="3" t="inlineStr"/>
      <c r="F5" s="3" t="inlineStr"/>
      <c r="G5" s="3" t="inlineStr"/>
      <c r="H5" s="3" t="inlineStr"/>
      <c r="I5" s="3" t="inlineStr"/>
      <c r="J5" s="3" t="inlineStr"/>
    </row>
    <row r="6" ht="32" customHeight="1">
      <c r="A6" s="15" t="inlineStr">
        <is>
          <t>Campaign name · ladder rung</t>
        </is>
      </c>
      <c r="B6" s="15" t="inlineStr">
        <is>
          <t>Raipur 100 · rung 2 (the founding ten → the district)</t>
        </is>
      </c>
      <c r="C6" s="26" t="n"/>
      <c r="D6" s="26" t="n"/>
      <c r="E6" s="26" t="n"/>
      <c r="F6" s="26" t="n"/>
      <c r="G6" s="26" t="n"/>
      <c r="H6" s="26" t="n"/>
      <c r="I6" s="26" t="n"/>
      <c r="J6" s="27" t="n"/>
    </row>
    <row r="7" ht="32" customHeight="1">
      <c r="A7" s="15" t="inlineStr">
        <is>
          <t>Goal + THE one number</t>
        </is>
      </c>
      <c r="B7" s="15" t="inlineStr">
        <is>
          <t>Activated dealers 1 → 10 by the end of Week 12. Activated = ≥3 customer firms linked AND ≥1 invoice within 14 days. Query: CEO's saved Mongo aggregation over dealer_custs + invoices, run every Monday 09:00.</t>
        </is>
      </c>
      <c r="C7" s="26" t="n"/>
      <c r="D7" s="26" t="n"/>
      <c r="E7" s="26" t="n"/>
      <c r="F7" s="26" t="n"/>
      <c r="G7" s="26" t="n"/>
      <c r="H7" s="26" t="n"/>
      <c r="I7" s="26" t="n"/>
      <c r="J7" s="27" t="n"/>
    </row>
    <row r="8" ht="32" customHeight="1">
      <c r="A8" s="15" t="inlineStr">
        <is>
          <t>Audience · list source</t>
        </is>
      </c>
      <c r="B8" s="15" t="inlineStr">
        <is>
          <t>The 100 named pumps within 60 km on the Target List tab, plus the credit customers each signed dealer names at onboarding.</t>
        </is>
      </c>
      <c r="C8" s="26" t="n"/>
      <c r="D8" s="26" t="n"/>
      <c r="E8" s="26" t="n"/>
      <c r="F8" s="26" t="n"/>
      <c r="G8" s="26" t="n"/>
      <c r="H8" s="26" t="n"/>
      <c r="I8" s="26" t="n"/>
      <c r="J8" s="27" t="n"/>
    </row>
    <row r="9" ht="32" customHeight="1">
      <c r="A9" s="15" t="inlineStr">
        <is>
          <t>Message</t>
        </is>
      </c>
      <c r="B9" s="15" t="inlineStr">
        <is>
          <t>"पिछले महीने रेट को लेकर कितनी बहस हुई?" — fear of loss, a rupee number, and the dealer next door (HC5, M04).</t>
        </is>
      </c>
      <c r="C9" s="26" t="n"/>
      <c r="D9" s="26" t="n"/>
      <c r="E9" s="26" t="n"/>
      <c r="F9" s="26" t="n"/>
      <c r="G9" s="26" t="n"/>
      <c r="H9" s="26" t="n"/>
      <c r="I9" s="26" t="n"/>
      <c r="J9" s="27" t="n"/>
    </row>
    <row r="10" ht="32" customHeight="1">
      <c r="A10" s="15" t="inlineStr">
        <is>
          <t>Offer</t>
        </is>
      </c>
      <c r="B10" s="15" t="inlineStr">
        <is>
          <t>14-day no-card trial, on-site setup, ledger migration, founding-dealer listing. Price VERIFY LIVE — owner sign-off pending.</t>
        </is>
      </c>
      <c r="C10" s="26" t="n"/>
      <c r="D10" s="26" t="n"/>
      <c r="E10" s="26" t="n"/>
      <c r="F10" s="26" t="n"/>
      <c r="G10" s="26" t="n"/>
      <c r="H10" s="26" t="n"/>
      <c r="I10" s="26" t="n"/>
      <c r="J10" s="27" t="n"/>
    </row>
    <row r="11" ht="32" customHeight="1">
      <c r="A11" s="15" t="inlineStr">
        <is>
          <t>Channels (1–2, in HC4 order)</t>
        </is>
      </c>
      <c r="B11" s="15" t="inlineStr">
        <is>
          <t>Referral → IOCL territory manager (Amey) → association → field visits. No paid ads on the dealer side before ~50 dealers.</t>
        </is>
      </c>
      <c r="C11" s="26" t="n"/>
      <c r="D11" s="26" t="n"/>
      <c r="E11" s="26" t="n"/>
      <c r="F11" s="26" t="n"/>
      <c r="G11" s="26" t="n"/>
      <c r="H11" s="26" t="n"/>
      <c r="I11" s="26" t="n"/>
      <c r="J11" s="27" t="n"/>
    </row>
    <row r="12" ht="32" customHeight="1">
      <c r="A12" s="15" t="inlineStr">
        <is>
          <t>Budget</t>
        </is>
      </c>
      <c r="B12" s="15" t="inlineStr">
        <is>
          <t>₹40,000/month × ~2.5 months ≈ ₹1.0 L cash. Founder time excluded and named: ~45 h/week across three founders ≈ ₹78,000/month imputed.</t>
        </is>
      </c>
      <c r="C12" s="26" t="n"/>
      <c r="D12" s="26" t="n"/>
      <c r="E12" s="26" t="n"/>
      <c r="F12" s="26" t="n"/>
      <c r="G12" s="26" t="n"/>
      <c r="H12" s="26" t="n"/>
      <c r="I12" s="26" t="n"/>
      <c r="J12" s="27" t="n"/>
    </row>
    <row r="13" ht="32" customHeight="1">
      <c r="A13" s="15" t="inlineStr">
        <is>
          <t>Calendar by week · owners</t>
        </is>
      </c>
      <c r="B13" s="15" t="inlineStr">
        <is>
          <t>One row per week in section C; a founder's name on every row and every budget line.</t>
        </is>
      </c>
      <c r="C13" s="26" t="n"/>
      <c r="D13" s="26" t="n"/>
      <c r="E13" s="26" t="n"/>
      <c r="F13" s="26" t="n"/>
      <c r="G13" s="26" t="n"/>
      <c r="H13" s="26" t="n"/>
      <c r="I13" s="26" t="n"/>
      <c r="J13" s="27" t="n"/>
    </row>
    <row r="14" ht="32" customHeight="1">
      <c r="A14" s="15" t="inlineStr">
        <is>
          <t>Risks · review cadence</t>
        </is>
      </c>
      <c r="B14" s="15" t="inlineStr">
        <is>
          <t>(1) Referrals dry up before the founding ten — watch asks per activated dealer. (2) The IOCL relationship stays social — watch written next steps. (3) Trials stall at day 14 — watch demo → trial. Cadence: Mon 09:30 numbers, Fri 18:00 learnings, mid-campaign kill/double, post-mortem within 5 days.</t>
        </is>
      </c>
      <c r="C14" s="26" t="n"/>
      <c r="D14" s="26" t="n"/>
      <c r="E14" s="26" t="n"/>
      <c r="F14" s="26" t="n"/>
      <c r="G14" s="26" t="n"/>
      <c r="H14" s="26" t="n"/>
      <c r="I14" s="26" t="n"/>
      <c r="J14" s="27" t="n"/>
    </row>
    <row r="15" ht="32" customHeight="1">
      <c r="A15" s="15" t="inlineStr">
        <is>
          <t>Entry test passed?</t>
        </is>
      </c>
      <c r="B15" s="15" t="inlineStr">
        <is>
          <t>YES — dealer #1 both sides live, ≥1 invoice a week for four weeks. Evidence: his month-end, 31 Jul 2026. Without a measured pass of the rung below, nobody signs.</t>
        </is>
      </c>
      <c r="C15" s="26" t="n"/>
      <c r="D15" s="26" t="n"/>
      <c r="E15" s="26" t="n"/>
      <c r="F15" s="26" t="n"/>
      <c r="G15" s="26" t="n"/>
      <c r="H15" s="26" t="n"/>
      <c r="I15" s="26" t="n"/>
      <c r="J15" s="27" t="n"/>
    </row>
    <row r="17">
      <c r="A17" s="13" t="inlineStr">
        <is>
          <t>B. The budget — every line carries a rupee figure and one name</t>
        </is>
      </c>
      <c r="B17" s="14" t="n"/>
      <c r="C17" s="14" t="n"/>
      <c r="D17" s="14" t="n"/>
      <c r="E17" s="14" t="n"/>
      <c r="F17" s="14" t="n"/>
      <c r="G17" s="14" t="n"/>
      <c r="H17" s="14" t="n"/>
      <c r="I17" s="14" t="n"/>
      <c r="J17" s="14" t="n"/>
    </row>
    <row r="18" ht="30" customHeight="1">
      <c r="A18" s="3" t="inlineStr">
        <is>
          <t>Line</t>
        </is>
      </c>
      <c r="B18" s="3" t="inlineStr">
        <is>
          <t>₹ planned / month</t>
        </is>
      </c>
      <c r="C18" s="3" t="inlineStr">
        <is>
          <t>₹ actual / month</t>
        </is>
      </c>
      <c r="D18" s="3" t="inlineStr">
        <is>
          <t>Variance ₹</t>
        </is>
      </c>
      <c r="E18" s="3" t="inlineStr">
        <is>
          <t>Variance %</t>
        </is>
      </c>
      <c r="F18" s="3" t="inlineStr">
        <is>
          <t>Owner</t>
        </is>
      </c>
      <c r="G18" s="3" t="inlineStr">
        <is>
          <t>Cut order</t>
        </is>
      </c>
      <c r="H18" s="3" t="inlineStr">
        <is>
          <t>What it buys</t>
        </is>
      </c>
      <c r="I18" s="3" t="inlineStr"/>
      <c r="J18" s="3" t="inlineStr"/>
    </row>
    <row r="19" ht="28" customHeight="1">
      <c r="A19" s="15" t="inlineStr">
        <is>
          <t>Fuel + travel (~8 visits/week, 60 km radius)</t>
        </is>
      </c>
      <c r="B19" s="28" t="n">
        <v>10000</v>
      </c>
      <c r="C19" s="28" t="n">
        <v>11500</v>
      </c>
      <c r="D19" s="53">
        <f>IF(OR(B19="",C19=""),"",C19-B19)</f>
        <v/>
      </c>
      <c r="E19" s="60">
        <f>IF(OR(B19="",B19=0,C19=""),"",(C19-B19)/B19)</f>
        <v/>
      </c>
      <c r="F19" s="15" t="inlineStr">
        <is>
          <t>Domain director</t>
        </is>
      </c>
      <c r="G19" s="15" t="inlineStr">
        <is>
          <t>7th</t>
        </is>
      </c>
      <c r="H19" s="15" t="inlineStr">
        <is>
          <t>~60 pump visits within 60 km</t>
        </is>
      </c>
      <c r="I19" s="26" t="n"/>
      <c r="J19" s="27" t="n"/>
    </row>
    <row r="20" ht="28" customHeight="1">
      <c r="A20" s="15" t="inlineStr">
        <is>
          <t>Printing — leave-behind + GST/TCS booklet</t>
        </is>
      </c>
      <c r="B20" s="28" t="n">
        <v>6000</v>
      </c>
      <c r="C20" s="28" t="n">
        <v>5200</v>
      </c>
      <c r="D20" s="53">
        <f>IF(OR(B20="",C20=""),"",C20-B20)</f>
        <v/>
      </c>
      <c r="E20" s="60">
        <f>IF(OR(B20="",B20=0,C20=""),"",(C20-B20)/B20)</f>
        <v/>
      </c>
      <c r="F20" s="15" t="inlineStr">
        <is>
          <t>Third director</t>
        </is>
      </c>
      <c r="G20" s="15" t="inlineStr">
        <is>
          <t>5th</t>
        </is>
      </c>
      <c r="H20" s="15" t="inlineStr">
        <is>
          <t>~150 leaflets + 30 booklets</t>
        </is>
      </c>
      <c r="I20" s="26" t="n"/>
      <c r="J20" s="27" t="n"/>
    </row>
    <row r="21" ht="28" customHeight="1">
      <c r="A21" s="15" t="inlineStr">
        <is>
          <t>Dealer Day / association (chai + CA session, 25–40 seats)</t>
        </is>
      </c>
      <c r="B21" s="28" t="n">
        <v>12000</v>
      </c>
      <c r="C21" s="28" t="n">
        <v>12000</v>
      </c>
      <c r="D21" s="53">
        <f>IF(OR(B21="",C21=""),"",C21-B21)</f>
        <v/>
      </c>
      <c r="E21" s="60">
        <f>IF(OR(B21="",B21=0,C21=""),"",(C21-B21)/B21)</f>
        <v/>
      </c>
      <c r="F21" s="15" t="inlineStr">
        <is>
          <t>Domain director</t>
        </is>
      </c>
      <c r="G21" s="15" t="inlineStr">
        <is>
          <t>3rd</t>
        </is>
      </c>
      <c r="H21" s="15" t="inlineStr">
        <is>
          <t>A ₹24k event per quarter, amortised</t>
        </is>
      </c>
      <c r="I21" s="26" t="n"/>
      <c r="J21" s="27" t="n"/>
    </row>
    <row r="22" ht="28" customHeight="1">
      <c r="A22" s="15" t="inlineStr">
        <is>
          <t>WhatsApp Business — BSP + templates, priced per DELIVERED message</t>
        </is>
      </c>
      <c r="B22" s="28" t="n">
        <v>4000</v>
      </c>
      <c r="C22" s="28" t="n">
        <v>3600</v>
      </c>
      <c r="D22" s="53">
        <f>IF(OR(B22="",C22=""),"",C22-B22)</f>
        <v/>
      </c>
      <c r="E22" s="60">
        <f>IF(OR(B22="",B22=0,C22=""),"",(C22-B22)/B22)</f>
        <v/>
      </c>
      <c r="F22" s="15" t="inlineStr">
        <is>
          <t>Third director</t>
        </is>
      </c>
      <c r="G22" s="15" t="inlineStr">
        <is>
          <t>4th</t>
        </is>
      </c>
      <c r="H22" s="15" t="inlineStr">
        <is>
          <t>~1,500 utility + ~500 marketing messages. ≈₹0.86 marketing / ₹0.115 utility + BSP markup + 18% GST — VERIFY LIVE</t>
        </is>
      </c>
      <c r="I22" s="26" t="n"/>
      <c r="J22" s="27" t="n"/>
    </row>
    <row r="23" ht="28" customHeight="1">
      <c r="A23" s="15" t="inlineStr">
        <is>
          <t>Tools / software (CRM, design, landing page)</t>
        </is>
      </c>
      <c r="B23" s="28" t="n">
        <v>0</v>
      </c>
      <c r="C23" s="28" t="n">
        <v>0</v>
      </c>
      <c r="D23" s="53">
        <f>IF(OR(B23="",C23=""),"",C23-B23)</f>
        <v/>
      </c>
      <c r="E23" s="60">
        <f>IF(OR(B23="",B23=0,C23=""),"",(C23-B23)/B23)</f>
        <v/>
      </c>
      <c r="F23" s="15" t="inlineStr">
        <is>
          <t>Third director</t>
        </is>
      </c>
      <c r="G23" s="15" t="inlineStr">
        <is>
          <t>2nd</t>
        </is>
      </c>
      <c r="H23" s="15" t="inlineStr">
        <is>
          <t>Free tiers until they break</t>
        </is>
      </c>
      <c r="I23" s="26" t="n"/>
      <c r="J23" s="27" t="n"/>
    </row>
    <row r="24" ht="28" customHeight="1">
      <c r="A24" s="15" t="inlineStr">
        <is>
          <t>Referral payouts — Dealer Dost bounty accrual (2 × ₹2,000)</t>
        </is>
      </c>
      <c r="B24" s="28" t="n">
        <v>4000</v>
      </c>
      <c r="C24" s="28" t="n">
        <v>4000</v>
      </c>
      <c r="D24" s="53">
        <f>IF(OR(B24="",C24=""),"",C24-B24)</f>
        <v/>
      </c>
      <c r="E24" s="60">
        <f>IF(OR(B24="",B24=0,C24=""),"",(C24-B24)/B24)</f>
        <v/>
      </c>
      <c r="F24" s="15" t="inlineStr">
        <is>
          <t>Third director</t>
        </is>
      </c>
      <c r="G24" s="15" t="inlineStr">
        <is>
          <t>8th — never cut</t>
        </is>
      </c>
      <c r="H24" s="15" t="inlineStr">
        <is>
          <t>The cheapest channel we have. Cut this last, or not at all</t>
        </is>
      </c>
      <c r="I24" s="26" t="n"/>
      <c r="J24" s="27" t="n"/>
    </row>
    <row r="25" ht="28" customHeight="1">
      <c r="A25" s="15" t="inlineStr">
        <is>
          <t>Testimonial video (phone-shot + edit)</t>
        </is>
      </c>
      <c r="B25" s="28" t="n">
        <v>2000</v>
      </c>
      <c r="C25" s="28" t="n">
        <v>1500</v>
      </c>
      <c r="D25" s="53">
        <f>IF(OR(B25="",C25=""),"",C25-B25)</f>
        <v/>
      </c>
      <c r="E25" s="60">
        <f>IF(OR(B25="",B25=0,C25=""),"",(C25-B25)/B25)</f>
        <v/>
      </c>
      <c r="F25" s="15" t="inlineStr">
        <is>
          <t>CEO</t>
        </is>
      </c>
      <c r="G25" s="15" t="inlineStr">
        <is>
          <t>6th</t>
        </is>
      </c>
      <c r="H25" s="15" t="inlineStr">
        <is>
          <t>One shoot, phone + freelance edit</t>
        </is>
      </c>
      <c r="I25" s="26" t="n"/>
      <c r="J25" s="27" t="n"/>
    </row>
    <row r="26" ht="28" customHeight="1">
      <c r="A26" s="15" t="inlineStr">
        <is>
          <t>Contingency / channel experiment</t>
        </is>
      </c>
      <c r="B26" s="28" t="n">
        <v>2000</v>
      </c>
      <c r="C26" s="28" t="n">
        <v>3000</v>
      </c>
      <c r="D26" s="53">
        <f>IF(OR(B26="",C26=""),"",C26-B26)</f>
        <v/>
      </c>
      <c r="E26" s="60">
        <f>IF(OR(B26="",B26=0,C26=""),"",(C26-B26)/B26)</f>
        <v/>
      </c>
      <c r="F26" s="15" t="inlineStr">
        <is>
          <t>Third director</t>
        </is>
      </c>
      <c r="G26" s="15" t="inlineStr">
        <is>
          <t>1st — cut first</t>
        </is>
      </c>
      <c r="H26" s="15" t="inlineStr">
        <is>
          <t>One Channel Experiments test</t>
        </is>
      </c>
      <c r="I26" s="26" t="n"/>
      <c r="J26" s="27" t="n"/>
    </row>
    <row r="27">
      <c r="A27" s="55" t="inlineStr">
        <is>
          <t>TOTAL / month — must stay inside the ₹30–50k band (HC7)</t>
        </is>
      </c>
      <c r="B27" s="56">
        <f>SUM(B19:B26)</f>
        <v/>
      </c>
      <c r="C27" s="56">
        <f>SUM(C19:C26)</f>
        <v/>
      </c>
      <c r="D27" s="56">
        <f>C27-B27</f>
        <v/>
      </c>
      <c r="E27" s="61">
        <f>IF(B27=0,"",(C27-B27)/B27)</f>
        <v/>
      </c>
      <c r="F27" s="55" t="inlineStr"/>
      <c r="G27" s="55" t="inlineStr"/>
      <c r="H27" s="55" t="inlineStr">
        <is>
          <t>Any single line moving by more than ₹5,000 needs a dated CEO sign-off and a line in the decision log. The envelope itself is a runway call.</t>
        </is>
      </c>
      <c r="I27" s="26" t="n"/>
      <c r="J27" s="27" t="n"/>
    </row>
    <row r="28">
      <c r="A28" s="15" t="inlineStr">
        <is>
          <t>Founder time — NOT cash, never cut, always stated</t>
        </is>
      </c>
      <c r="B28" s="15" t="inlineStr">
        <is>
          <t>≈₹78,000</t>
        </is>
      </c>
      <c r="C28" s="15" t="inlineStr"/>
      <c r="D28" s="15" t="inlineStr"/>
      <c r="E28" s="15" t="inlineStr"/>
      <c r="F28" s="15" t="inlineStr">
        <is>
          <t>All three</t>
        </is>
      </c>
      <c r="G28" s="15" t="inlineStr">
        <is>
          <t>—</t>
        </is>
      </c>
      <c r="H28" s="15" t="inlineStr">
        <is>
          <t>45 h/week × ₹400 imputed. Roughly twice the cash budget: saving ₹5,000 of cash by spending ten extra founder hours is a losing trade.</t>
        </is>
      </c>
      <c r="I28" s="26" t="n"/>
      <c r="J28" s="27" t="n"/>
    </row>
    <row r="30">
      <c r="A30" s="13" t="inlineStr">
        <is>
          <t>C. The weekly campaign log — filled Monday 09:30, zeros included</t>
        </is>
      </c>
      <c r="B30" s="14" t="n"/>
      <c r="C30" s="14" t="n"/>
      <c r="D30" s="14" t="n"/>
      <c r="E30" s="14" t="n"/>
      <c r="F30" s="14" t="n"/>
      <c r="G30" s="14" t="n"/>
      <c r="H30" s="14" t="n"/>
      <c r="I30" s="14" t="n"/>
      <c r="J30" s="14" t="n"/>
    </row>
    <row r="31" ht="30" customHeight="1">
      <c r="A31" s="3" t="inlineStr">
        <is>
          <t>Week</t>
        </is>
      </c>
      <c r="B31" s="3" t="inlineStr">
        <is>
          <t>Visits</t>
        </is>
      </c>
      <c r="C31" s="3" t="inlineStr">
        <is>
          <t>Demos</t>
        </is>
      </c>
      <c r="D31" s="3" t="inlineStr">
        <is>
          <t>Trials</t>
        </is>
      </c>
      <c r="E31" s="3" t="inlineStr">
        <is>
          <t>Activations</t>
        </is>
      </c>
      <c r="F31" s="3" t="inlineStr">
        <is>
          <t>Referrals</t>
        </is>
      </c>
      <c r="G31" s="3" t="inlineStr">
        <is>
          <t>Spend ₹</t>
        </is>
      </c>
      <c r="H31" s="3" t="inlineStr">
        <is>
          <t>Learning (one line)</t>
        </is>
      </c>
      <c r="I31" s="3" t="inlineStr">
        <is>
          <t>Change made Monday</t>
        </is>
      </c>
      <c r="J31" s="3" t="inlineStr"/>
    </row>
    <row r="32" ht="26" customHeight="1">
      <c r="A32" s="4" t="inlineStr">
        <is>
          <t>W1</t>
        </is>
      </c>
      <c r="B32" s="20" t="inlineStr"/>
      <c r="C32" s="20" t="inlineStr"/>
      <c r="D32" s="20" t="inlineStr"/>
      <c r="E32" s="20" t="inlineStr"/>
      <c r="F32" s="20" t="inlineStr"/>
      <c r="G32" s="29" t="inlineStr"/>
      <c r="H32" s="20" t="inlineStr"/>
      <c r="I32" s="20" t="inlineStr"/>
    </row>
    <row r="33" ht="26" customHeight="1">
      <c r="A33" s="4" t="inlineStr">
        <is>
          <t>W2</t>
        </is>
      </c>
      <c r="B33" s="20" t="inlineStr"/>
      <c r="C33" s="20" t="inlineStr"/>
      <c r="D33" s="20" t="inlineStr"/>
      <c r="E33" s="20" t="inlineStr"/>
      <c r="F33" s="20" t="inlineStr"/>
      <c r="G33" s="29" t="inlineStr"/>
      <c r="H33" s="20" t="inlineStr"/>
      <c r="I33" s="20" t="inlineStr"/>
    </row>
    <row r="34" ht="26" customHeight="1">
      <c r="A34" s="4" t="inlineStr">
        <is>
          <t>W3</t>
        </is>
      </c>
      <c r="B34" s="20" t="inlineStr"/>
      <c r="C34" s="20" t="inlineStr"/>
      <c r="D34" s="20" t="inlineStr"/>
      <c r="E34" s="20" t="inlineStr"/>
      <c r="F34" s="20" t="inlineStr"/>
      <c r="G34" s="29" t="inlineStr"/>
      <c r="H34" s="20" t="inlineStr"/>
      <c r="I34" s="20" t="inlineStr"/>
    </row>
    <row r="35" ht="26" customHeight="1">
      <c r="A35" s="4" t="inlineStr">
        <is>
          <t>W4</t>
        </is>
      </c>
      <c r="B35" s="20" t="inlineStr"/>
      <c r="C35" s="20" t="inlineStr"/>
      <c r="D35" s="20" t="inlineStr"/>
      <c r="E35" s="20" t="inlineStr"/>
      <c r="F35" s="20" t="inlineStr"/>
      <c r="G35" s="29" t="inlineStr"/>
      <c r="H35" s="20" t="inlineStr"/>
      <c r="I35" s="20" t="inlineStr"/>
    </row>
    <row r="36" ht="26" customHeight="1">
      <c r="A36" s="4" t="inlineStr">
        <is>
          <t>W5</t>
        </is>
      </c>
      <c r="B36" s="20" t="inlineStr"/>
      <c r="C36" s="20" t="inlineStr"/>
      <c r="D36" s="20" t="inlineStr"/>
      <c r="E36" s="20" t="inlineStr"/>
      <c r="F36" s="20" t="inlineStr"/>
      <c r="G36" s="29" t="inlineStr"/>
      <c r="H36" s="20" t="inlineStr"/>
      <c r="I36" s="20" t="inlineStr"/>
    </row>
    <row r="37" ht="26" customHeight="1">
      <c r="A37" s="15" t="inlineStr">
        <is>
          <t>W6</t>
        </is>
      </c>
      <c r="B37" s="15" t="n">
        <v>9</v>
      </c>
      <c r="C37" s="15" t="n">
        <v>5</v>
      </c>
      <c r="D37" s="15" t="n">
        <v>2</v>
      </c>
      <c r="E37" s="15" t="n">
        <v>0</v>
      </c>
      <c r="F37" s="15" t="n">
        <v>1</v>
      </c>
      <c r="G37" s="28" t="n">
        <v>9400</v>
      </c>
      <c r="H37" s="15" t="inlineStr">
        <is>
          <t>Both cold walk-ins refused the demo; both introduced pumps sat through all ten minutes.</t>
        </is>
      </c>
      <c r="I37" s="15" t="inlineStr">
        <is>
          <t>Two cold-visit slots become referral asks.</t>
        </is>
      </c>
    </row>
    <row r="38" ht="26" customHeight="1">
      <c r="A38" s="4" t="inlineStr">
        <is>
          <t>W7</t>
        </is>
      </c>
      <c r="B38" s="20" t="inlineStr"/>
      <c r="C38" s="20" t="inlineStr"/>
      <c r="D38" s="20" t="inlineStr"/>
      <c r="E38" s="20" t="inlineStr"/>
      <c r="F38" s="20" t="inlineStr"/>
      <c r="G38" s="29" t="inlineStr"/>
      <c r="H38" s="20" t="inlineStr"/>
      <c r="I38" s="20" t="inlineStr"/>
    </row>
    <row r="39" ht="26" customHeight="1">
      <c r="A39" s="4" t="inlineStr">
        <is>
          <t>W8</t>
        </is>
      </c>
      <c r="B39" s="20" t="inlineStr"/>
      <c r="C39" s="20" t="inlineStr"/>
      <c r="D39" s="20" t="inlineStr"/>
      <c r="E39" s="20" t="inlineStr"/>
      <c r="F39" s="20" t="inlineStr"/>
      <c r="G39" s="29" t="inlineStr"/>
      <c r="H39" s="20" t="inlineStr"/>
      <c r="I39" s="20" t="inlineStr"/>
    </row>
    <row r="40" ht="26" customHeight="1">
      <c r="A40" s="4" t="inlineStr">
        <is>
          <t>W9</t>
        </is>
      </c>
      <c r="B40" s="20" t="inlineStr"/>
      <c r="C40" s="20" t="inlineStr"/>
      <c r="D40" s="20" t="inlineStr"/>
      <c r="E40" s="20" t="inlineStr"/>
      <c r="F40" s="20" t="inlineStr"/>
      <c r="G40" s="29" t="inlineStr"/>
      <c r="H40" s="20" t="inlineStr"/>
      <c r="I40" s="20" t="inlineStr"/>
    </row>
    <row r="41" ht="26" customHeight="1">
      <c r="A41" s="4" t="inlineStr">
        <is>
          <t>W10</t>
        </is>
      </c>
      <c r="B41" s="20" t="inlineStr"/>
      <c r="C41" s="20" t="inlineStr"/>
      <c r="D41" s="20" t="inlineStr"/>
      <c r="E41" s="20" t="inlineStr"/>
      <c r="F41" s="20" t="inlineStr"/>
      <c r="G41" s="29" t="inlineStr"/>
      <c r="H41" s="20" t="inlineStr"/>
      <c r="I41" s="20" t="inlineStr"/>
    </row>
    <row r="42" ht="26" customHeight="1">
      <c r="A42" s="4" t="inlineStr">
        <is>
          <t>W11</t>
        </is>
      </c>
      <c r="B42" s="20" t="inlineStr"/>
      <c r="C42" s="20" t="inlineStr"/>
      <c r="D42" s="20" t="inlineStr"/>
      <c r="E42" s="20" t="inlineStr"/>
      <c r="F42" s="20" t="inlineStr"/>
      <c r="G42" s="29" t="inlineStr"/>
      <c r="H42" s="20" t="inlineStr"/>
      <c r="I42" s="20" t="inlineStr"/>
    </row>
    <row r="43" ht="26" customHeight="1">
      <c r="A43" s="4" t="inlineStr">
        <is>
          <t>W12</t>
        </is>
      </c>
      <c r="B43" s="20" t="inlineStr"/>
      <c r="C43" s="20" t="inlineStr"/>
      <c r="D43" s="20" t="inlineStr"/>
      <c r="E43" s="20" t="inlineStr"/>
      <c r="F43" s="20" t="inlineStr"/>
      <c r="G43" s="29" t="inlineStr"/>
      <c r="H43" s="20" t="inlineStr"/>
      <c r="I43" s="20" t="inlineStr"/>
    </row>
    <row r="44">
      <c r="A44" s="55" t="inlineStr">
        <is>
          <t>TOTAL</t>
        </is>
      </c>
      <c r="B44" s="62">
        <f>SUM(B32:B43)</f>
        <v/>
      </c>
      <c r="C44" s="62">
        <f>SUM(C32:C43)</f>
        <v/>
      </c>
      <c r="D44" s="62">
        <f>SUM(D32:D43)</f>
        <v/>
      </c>
      <c r="E44" s="62">
        <f>SUM(E32:E43)</f>
        <v/>
      </c>
      <c r="F44" s="62">
        <f>SUM(F32:F43)</f>
        <v/>
      </c>
      <c r="G44" s="56">
        <f>SUM(G32:G43)</f>
        <v/>
      </c>
      <c r="H44" s="55" t="inlineStr">
        <is>
          <t>Skipping the zero weeks removes the diagnosis. Back-filling on Friday invents one.</t>
        </is>
      </c>
      <c r="I44" s="55" t="inlineStr"/>
      <c r="J44" s="63" t="n"/>
    </row>
    <row r="46">
      <c r="A46" s="13" t="inlineStr">
        <is>
          <t>D. The post-mortem — six boxes, 45 minutes, blameless, within five days of the close</t>
        </is>
      </c>
      <c r="B46" s="14" t="n"/>
      <c r="C46" s="14" t="n"/>
      <c r="D46" s="14" t="n"/>
      <c r="E46" s="14" t="n"/>
      <c r="F46" s="14" t="n"/>
      <c r="G46" s="14" t="n"/>
      <c r="H46" s="14" t="n"/>
      <c r="I46" s="14" t="n"/>
      <c r="J46" s="14" t="n"/>
    </row>
    <row r="47" ht="30" customHeight="1">
      <c r="A47" s="3" t="inlineStr">
        <is>
          <t>Box</t>
        </is>
      </c>
      <c r="B47" s="3" t="inlineStr">
        <is>
          <t>Fill</t>
        </is>
      </c>
      <c r="C47" s="3" t="inlineStr"/>
      <c r="D47" s="3" t="inlineStr"/>
      <c r="E47" s="3" t="inlineStr"/>
      <c r="F47" s="3" t="inlineStr"/>
      <c r="G47" s="3" t="inlineStr"/>
      <c r="H47" s="3" t="inlineStr"/>
      <c r="I47" s="3" t="inlineStr"/>
      <c r="J47" s="3" t="inlineStr"/>
    </row>
    <row r="48" ht="30" customHeight="1">
      <c r="A48" s="15" t="inlineStr">
        <is>
          <t>Hypothesis</t>
        </is>
      </c>
      <c r="B48" s="15" t="inlineStr">
        <is>
          <t>A named list worked warm — referral, then OMC introduction, then association — converts at about 10% of the list into activated dealers in 12 weeks.</t>
        </is>
      </c>
      <c r="C48" s="26" t="n"/>
      <c r="D48" s="26" t="n"/>
      <c r="E48" s="26" t="n"/>
      <c r="F48" s="26" t="n"/>
      <c r="G48" s="26" t="n"/>
      <c r="H48" s="26" t="n"/>
      <c r="I48" s="26" t="n"/>
      <c r="J48" s="27" t="n"/>
    </row>
    <row r="49" ht="30" customHeight="1">
      <c r="A49" s="15" t="inlineStr">
        <is>
          <t>Result vs the number</t>
        </is>
      </c>
      <c r="B49" s="15" t="inlineStr">
        <is>
          <t>8 activated against a target of 10. The gap opened at demo → trial, not at the door: getting in was fine, getting the tenant created was not.</t>
        </is>
      </c>
      <c r="C49" s="26" t="n"/>
      <c r="D49" s="26" t="n"/>
      <c r="E49" s="26" t="n"/>
      <c r="F49" s="26" t="n"/>
      <c r="G49" s="26" t="n"/>
      <c r="H49" s="26" t="n"/>
      <c r="I49" s="26" t="n"/>
      <c r="J49" s="27" t="n"/>
    </row>
    <row r="50" ht="30" customHeight="1">
      <c r="A50" s="15" t="inlineStr">
        <is>
          <t>CAC by channel</t>
        </is>
      </c>
      <c r="B50" s="15" t="inlineStr">
        <is>
          <t>See the table below — one row per channel, spend ÷ activated. The same rows go to the Channel Experiments tab.</t>
        </is>
      </c>
      <c r="C50" s="26" t="n"/>
      <c r="D50" s="26" t="n"/>
      <c r="E50" s="26" t="n"/>
      <c r="F50" s="26" t="n"/>
      <c r="G50" s="26" t="n"/>
      <c r="H50" s="26" t="n"/>
      <c r="I50" s="26" t="n"/>
      <c r="J50" s="27" t="n"/>
    </row>
    <row r="51" ht="30" customHeight="1">
      <c r="A51" s="15" t="inlineStr">
        <is>
          <t>Keep</t>
        </is>
      </c>
      <c r="B51" s="15" t="inlineStr">
        <is>
          <t>Referral asks at the activation moment; the CA-led session as a warm-up; the same-evening pipeline update.</t>
        </is>
      </c>
      <c r="C51" s="26" t="n"/>
      <c r="D51" s="26" t="n"/>
      <c r="E51" s="26" t="n"/>
      <c r="F51" s="26" t="n"/>
      <c r="G51" s="26" t="n"/>
      <c r="H51" s="26" t="n"/>
      <c r="I51" s="26" t="n"/>
      <c r="J51" s="27" t="n"/>
    </row>
    <row r="52" ht="30" customHeight="1">
      <c r="A52" s="15" t="inlineStr">
        <is>
          <t>Kill</t>
        </is>
      </c>
      <c r="B52" s="15" t="inlineStr">
        <is>
          <t>Cold field visits — ₹42,000 freed, nothing to show. Stops Monday.</t>
        </is>
      </c>
      <c r="C52" s="26" t="n"/>
      <c r="D52" s="26" t="n"/>
      <c r="E52" s="26" t="n"/>
      <c r="F52" s="26" t="n"/>
      <c r="G52" s="26" t="n"/>
      <c r="H52" s="26" t="n"/>
      <c r="I52" s="26" t="n"/>
      <c r="J52" s="27" t="n"/>
    </row>
    <row r="53" ht="30" customHeight="1">
      <c r="A53" s="15" t="inlineStr">
        <is>
          <t>Change</t>
        </is>
      </c>
      <c r="B53" s="15" t="inlineStr">
        <is>
          <t>One change only: the day-14 trial meeting becomes a booked calendar entry at trial start, owned by the domain director.</t>
        </is>
      </c>
      <c r="C53" s="26" t="n"/>
      <c r="D53" s="26" t="n"/>
      <c r="E53" s="26" t="n"/>
      <c r="F53" s="26" t="n"/>
      <c r="G53" s="26" t="n"/>
      <c r="H53" s="26" t="n"/>
      <c r="I53" s="26" t="n"/>
      <c r="J53" s="27" t="n"/>
    </row>
    <row r="54" ht="30" customHeight="1">
      <c r="A54" s="15" t="inlineStr">
        <is>
          <t>Next campaign · date</t>
        </is>
      </c>
      <c r="B54" s="15" t="inlineStr">
        <is>
          <t>Rung 3, entry test as numbers: ≥10 paying dealers, one channel producing ≥3 repeatably, CAC known ±30%, activation ≥60%. Brief written by 15 Dec 2026.</t>
        </is>
      </c>
      <c r="C54" s="26" t="n"/>
      <c r="D54" s="26" t="n"/>
      <c r="E54" s="26" t="n"/>
      <c r="F54" s="26" t="n"/>
      <c r="G54" s="26" t="n"/>
      <c r="H54" s="26" t="n"/>
      <c r="I54" s="26" t="n"/>
      <c r="J54" s="27" t="n"/>
    </row>
    <row r="56" ht="30" customHeight="1">
      <c r="A56" s="3" t="inlineStr">
        <is>
          <t>Channel</t>
        </is>
      </c>
      <c r="B56" s="3" t="inlineStr">
        <is>
          <t>Spend ₹</t>
        </is>
      </c>
      <c r="C56" s="3" t="inlineStr">
        <is>
          <t>Activated</t>
        </is>
      </c>
      <c r="D56" s="3" t="inlineStr">
        <is>
          <t>CAC ₹</t>
        </is>
      </c>
      <c r="E56" s="3" t="inlineStr">
        <is>
          <t>Verdict</t>
        </is>
      </c>
      <c r="F56" s="3" t="inlineStr">
        <is>
          <t>Why</t>
        </is>
      </c>
      <c r="G56" s="3" t="inlineStr"/>
      <c r="H56" s="3" t="inlineStr"/>
      <c r="I56" s="3" t="inlineStr"/>
      <c r="J56" s="3" t="inlineStr"/>
    </row>
    <row r="57">
      <c r="A57" s="15" t="inlineStr">
        <is>
          <t>Referral</t>
        </is>
      </c>
      <c r="B57" s="28" t="n">
        <v>22000</v>
      </c>
      <c r="C57" s="16" t="n">
        <v>4</v>
      </c>
      <c r="D57" s="53">
        <f>IF(OR(C57="",C57=0),"—",B57/C57)</f>
        <v/>
      </c>
      <c r="E57" s="15" t="inlineStr">
        <is>
          <t>Keep</t>
        </is>
      </c>
      <c r="F57" s="15" t="inlineStr">
        <is>
          <t>Double the ask rate — it is the cheapest thing on this sheet</t>
        </is>
      </c>
      <c r="G57" s="26" t="n"/>
      <c r="H57" s="26" t="n"/>
      <c r="I57" s="26" t="n"/>
      <c r="J57" s="27" t="n"/>
    </row>
    <row r="58">
      <c r="A58" s="15" t="inlineStr">
        <is>
          <t>IOCL territory manager</t>
        </is>
      </c>
      <c r="B58" s="28" t="n">
        <v>8000</v>
      </c>
      <c r="C58" s="16" t="n">
        <v>2</v>
      </c>
      <c r="D58" s="53">
        <f>IF(OR(C58="",C58=0),"—",B58/C58)</f>
        <v/>
      </c>
      <c r="E58" s="15" t="inlineStr">
        <is>
          <t>Keep</t>
        </is>
      </c>
      <c r="F58" s="15" t="inlineStr">
        <is>
          <t>One meeting a month, no more; the cost is founder hours, not cash</t>
        </is>
      </c>
      <c r="G58" s="26" t="n"/>
      <c r="H58" s="26" t="n"/>
      <c r="I58" s="26" t="n"/>
      <c r="J58" s="27" t="n"/>
    </row>
    <row r="59">
      <c r="A59" s="15" t="inlineStr">
        <is>
          <t>Association / Dealer Day</t>
        </is>
      </c>
      <c r="B59" s="28" t="n">
        <v>30000</v>
      </c>
      <c r="C59" s="16" t="n">
        <v>2</v>
      </c>
      <c r="D59" s="53">
        <f>IF(OR(C59="",C59=0),"—",B59/C59)</f>
        <v/>
      </c>
      <c r="E59" s="15" t="inlineStr">
        <is>
          <t>Change</t>
        </is>
      </c>
      <c r="F59" s="15" t="inlineStr">
        <is>
          <t>One CA-led session, not two</t>
        </is>
      </c>
      <c r="G59" s="26" t="n"/>
      <c r="H59" s="26" t="n"/>
      <c r="I59" s="26" t="n"/>
      <c r="J59" s="27" t="n"/>
    </row>
    <row r="60">
      <c r="A60" s="15" t="inlineStr">
        <is>
          <t>Cold field visits</t>
        </is>
      </c>
      <c r="B60" s="28" t="n">
        <v>42000</v>
      </c>
      <c r="C60" s="16" t="n">
        <v>0</v>
      </c>
      <c r="D60" s="53">
        <f>IF(OR(C60="",C60=0),"—",B60/C60)</f>
        <v/>
      </c>
      <c r="E60" s="15" t="inlineStr">
        <is>
          <t>Kill</t>
        </is>
      </c>
      <c r="F60" s="15" t="inlineStr">
        <is>
          <t>₹42,000 freed. Revisit only with a written reason</t>
        </is>
      </c>
      <c r="G60" s="26" t="n"/>
      <c r="H60" s="26" t="n"/>
      <c r="I60" s="26" t="n"/>
      <c r="J60" s="27" t="n"/>
    </row>
    <row r="61">
      <c r="A61" s="55" t="inlineStr">
        <is>
          <t>BLENDED</t>
        </is>
      </c>
      <c r="B61" s="56">
        <f>SUM(B57:B60)</f>
        <v/>
      </c>
      <c r="C61" s="57">
        <f>SUM(C57:C60)</f>
        <v/>
      </c>
      <c r="D61" s="56">
        <f>IF(C61=0,"—",B61/C61)</f>
        <v/>
      </c>
      <c r="E61" s="55" t="inlineStr"/>
      <c r="F61" s="55" t="inlineStr">
        <is>
          <t>Planned ₹10,000. Actual ₹12,750 — a 27.5% miss that is entirely explained by the killed row.</t>
        </is>
      </c>
      <c r="G61" s="26" t="n"/>
      <c r="H61" s="26" t="n"/>
      <c r="I61" s="26" t="n"/>
      <c r="J61" s="27" t="n"/>
    </row>
    <row r="63">
      <c r="A63" s="13" t="inlineStr">
        <is>
          <t>E. The multi-district variant — only after the rung-3 entry test passes. Before that, mark it DRAFT — not funded.</t>
        </is>
      </c>
      <c r="B63" s="14" t="n"/>
      <c r="C63" s="14" t="n"/>
      <c r="D63" s="14" t="n"/>
      <c r="E63" s="14" t="n"/>
      <c r="F63" s="14" t="n"/>
      <c r="G63" s="14" t="n"/>
      <c r="H63" s="14" t="n"/>
      <c r="I63" s="14" t="n"/>
      <c r="J63" s="14" t="n"/>
    </row>
    <row r="64" ht="30" customHeight="1">
      <c r="A64" s="3" t="inlineStr">
        <is>
          <t>District</t>
        </is>
      </c>
      <c r="B64" s="3" t="inlineStr">
        <is>
          <t>Associate</t>
        </is>
      </c>
      <c r="C64" s="3" t="inlineStr">
        <is>
          <t>Association / OMC letter</t>
        </is>
      </c>
      <c r="D64" s="3" t="inlineStr">
        <is>
          <t>Dealer Day date</t>
        </is>
      </c>
      <c r="E64" s="3" t="inlineStr">
        <is>
          <t>List size</t>
        </is>
      </c>
      <c r="F64" s="3" t="inlineStr">
        <is>
          <t>The number (90 days)</t>
        </is>
      </c>
      <c r="G64" s="3" t="inlineStr">
        <is>
          <t>Activated at T+30</t>
        </is>
      </c>
      <c r="H64" s="3" t="inlineStr">
        <is>
          <t>T+30 gate</t>
        </is>
      </c>
      <c r="I64" s="3" t="inlineStr">
        <is>
          <t>Owner</t>
        </is>
      </c>
      <c r="J64" s="3" t="inlineStr">
        <is>
          <t>Note</t>
        </is>
      </c>
    </row>
    <row r="65" ht="28" customHeight="1">
      <c r="A65" s="15" t="inlineStr">
        <is>
          <t>Raipur</t>
        </is>
      </c>
      <c r="B65" s="15" t="inlineStr">
        <is>
          <t>—  (founders)</t>
        </is>
      </c>
      <c r="C65" s="15" t="inlineStr">
        <is>
          <t>sent, on letterhead</t>
        </is>
      </c>
      <c r="D65" s="19" t="n">
        <v>46280</v>
      </c>
      <c r="E65" s="37" t="n">
        <v>100</v>
      </c>
      <c r="F65" s="37" t="n">
        <v>15</v>
      </c>
      <c r="G65" s="37" t="n">
        <v>6</v>
      </c>
      <c r="H65" s="18">
        <f>IF(G65="","",IF(G65&gt;=5,"GO",IF(G65&gt;=3,"WATCH","STOP")))</f>
        <v/>
      </c>
      <c r="I65" s="15" t="inlineStr">
        <is>
          <t>Domain dir.</t>
        </is>
      </c>
      <c r="J65" s="15" t="inlineStr">
        <is>
          <t>The proven district. Everything below copies its playbook or it does not run.</t>
        </is>
      </c>
    </row>
    <row r="66" ht="28" customHeight="1">
      <c r="A66" s="20" t="inlineStr">
        <is>
          <t>Durg–Bhilai</t>
        </is>
      </c>
      <c r="B66" s="20" t="inlineStr"/>
      <c r="C66" s="20" t="inlineStr"/>
      <c r="D66" s="24" t="inlineStr"/>
      <c r="E66" s="38" t="inlineStr"/>
      <c r="F66" s="38" t="n">
        <v>15</v>
      </c>
      <c r="G66" s="38" t="inlineStr"/>
      <c r="H66" s="23">
        <f>IF(G66="","",IF(G66&gt;=5,"GO",IF(G66&gt;=3,"WATCH","STOP")))</f>
        <v/>
      </c>
      <c r="I66" s="20" t="inlineStr"/>
      <c r="J66" s="20" t="inlineStr"/>
    </row>
    <row r="67" ht="28" customHeight="1">
      <c r="A67" s="20" t="inlineStr">
        <is>
          <t>Bilaspur</t>
        </is>
      </c>
      <c r="B67" s="20" t="inlineStr"/>
      <c r="C67" s="20" t="inlineStr"/>
      <c r="D67" s="24" t="inlineStr"/>
      <c r="E67" s="38" t="inlineStr"/>
      <c r="F67" s="38" t="n">
        <v>15</v>
      </c>
      <c r="G67" s="38" t="inlineStr"/>
      <c r="H67" s="23">
        <f>IF(G67="","",IF(G67&gt;=5,"GO",IF(G67&gt;=3,"WATCH","STOP")))</f>
        <v/>
      </c>
      <c r="I67" s="20" t="inlineStr"/>
      <c r="J67" s="20" t="inlineStr"/>
    </row>
    <row r="68" ht="28" customHeight="1">
      <c r="A68" s="20" t="inlineStr">
        <is>
          <t>Rajnandgaon</t>
        </is>
      </c>
      <c r="B68" s="20" t="inlineStr"/>
      <c r="C68" s="20" t="inlineStr"/>
      <c r="D68" s="24" t="inlineStr"/>
      <c r="E68" s="38" t="inlineStr"/>
      <c r="F68" s="38" t="n">
        <v>15</v>
      </c>
      <c r="G68" s="38" t="inlineStr"/>
      <c r="H68" s="23">
        <f>IF(G68="","",IF(G68&gt;=5,"GO",IF(G68&gt;=3,"WATCH","STOP")))</f>
        <v/>
      </c>
      <c r="I68" s="20" t="inlineStr"/>
      <c r="J68" s="20" t="inlineStr"/>
    </row>
    <row r="70" ht="56" customHeight="1">
      <c r="A70" s="12" t="inlineStr">
        <is>
          <t>Rules for section E: one row per district, the SAME number definition everywhere, one named owner each. Three coordination artefacts, no more — a brief per district, one scorecard with a district row plus a company total, and a daily 15-minute stand-up. Size districts from PPAC's state-wise retail-outlet file — VERIFY LIVE. The budget shape flips to ~65–70% people, roughly ₹5.5–8 L over 90 days: it breaks HC7's band deliberately, funded from revenue or a round, never from runway. Run before CAC is known, this is four times the burn with no diagnosis.</t>
        </is>
      </c>
    </row>
  </sheetData>
  <mergeCells count="33">
    <mergeCell ref="B11:J11"/>
    <mergeCell ref="B14:J14"/>
    <mergeCell ref="B8:J8"/>
    <mergeCell ref="B53:J53"/>
    <mergeCell ref="B13:J13"/>
    <mergeCell ref="F59:J59"/>
    <mergeCell ref="B10:J10"/>
    <mergeCell ref="H22:J22"/>
    <mergeCell ref="H28:J28"/>
    <mergeCell ref="H19:J19"/>
    <mergeCell ref="H27:J27"/>
    <mergeCell ref="B9:J9"/>
    <mergeCell ref="B49:J49"/>
    <mergeCell ref="B6:J6"/>
    <mergeCell ref="B15:J15"/>
    <mergeCell ref="H24:J24"/>
    <mergeCell ref="B51:J51"/>
    <mergeCell ref="A70:J70"/>
    <mergeCell ref="H23:J23"/>
    <mergeCell ref="B50:J50"/>
    <mergeCell ref="H26:J26"/>
    <mergeCell ref="B54:J54"/>
    <mergeCell ref="H20:J20"/>
    <mergeCell ref="F58:J58"/>
    <mergeCell ref="B7:J7"/>
    <mergeCell ref="F61:J61"/>
    <mergeCell ref="F60:J60"/>
    <mergeCell ref="F57:J57"/>
    <mergeCell ref="B12:J12"/>
    <mergeCell ref="H25:J25"/>
    <mergeCell ref="B52:J52"/>
    <mergeCell ref="H21:J21"/>
    <mergeCell ref="B48:J48"/>
  </mergeCells>
  <conditionalFormatting sqref="D19:D27">
    <cfRule type="cellIs" priority="1" operator="greaterThan" dxfId="0">
      <formula>0</formula>
    </cfRule>
  </conditionalFormatting>
  <conditionalFormatting sqref="H65:H68">
    <cfRule type="cellIs" priority="2" operator="equal" dxfId="0">
      <formula>"STOP"</formula>
    </cfRule>
    <cfRule type="cellIs" priority="3" operator="equal" dxfId="1">
      <formula>"WATCH"</formula>
    </cfRule>
    <cfRule type="cellIs" priority="4" operator="equal" dxfId="2">
      <formula>"GO"</formula>
    </cfRule>
  </conditionalFormatting>
  <dataValidations count="1">
    <dataValidation sqref="C65:C68" showDropDown="0" showInputMessage="0" showErrorMessage="1" allowBlank="1" errorTitle="Pick from list" error="Please pick a value from the dropdown." type="list">
      <formula1>"not sent,sent,sent, on letterhead"</formula1>
    </dataValidation>
  </dataValidations>
  <pageMargins left="0.75" right="0.75" top="1" bottom="1" header="0.5" footer="0.5"/>
</worksheet>
</file>

<file path=xl/worksheets/sheet7.xml><?xml version="1.0" encoding="utf-8"?>
<worksheet xmlns="http://schemas.openxmlformats.org/spreadsheetml/2006/main">
  <sheetPr>
    <tabColor rgb="00475569"/>
    <outlinePr summaryBelow="1" summaryRight="1"/>
    <pageSetUpPr/>
  </sheetPr>
  <dimension ref="A1:N5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0" customWidth="1" min="3" max="3"/>
    <col width="16" customWidth="1" min="4" max="4"/>
    <col width="13" customWidth="1" min="5" max="5"/>
    <col width="13" customWidth="1" min="6" max="6"/>
    <col width="30" customWidth="1" min="7" max="7"/>
    <col width="9" customWidth="1" min="8" max="8"/>
    <col width="12" customWidth="1" min="9" max="9"/>
    <col width="12" customWidth="1" min="10" max="10"/>
    <col width="11" customWidth="1" min="11" max="11"/>
    <col width="12" customWidth="1" min="12" max="12"/>
    <col width="30" customWidth="1" min="13" max="13"/>
    <col width="11" customWidth="1" min="14" max="14"/>
  </cols>
  <sheetData>
    <row r="1" ht="23" customHeight="1">
      <c r="A1" s="1" t="inlineStr">
        <is>
          <t>Content Calendar — one piece a week, and whether it earned a reply</t>
        </is>
      </c>
    </row>
    <row r="2" ht="26" customHeight="1">
      <c r="A2" s="2" t="inlineStr">
        <is>
          <t>Fills M11 §D. One row, one piece, forty minutes of editing: four hours means the format is wrong. Row filled Friday, broadcast Tuesday. Never Sunday; 10:30–12:30 or 16:00–18:00, outside the pump's rush. One broadcast per list per week, maximum — and only to dealers who opted in AND saved your number. Reply rate here is scorecard row 7. Zero replies twice means the row is deleted, not debated.</t>
        </is>
      </c>
    </row>
    <row r="4">
      <c r="A4" s="13" t="inlineStr">
        <is>
          <t>A. The calendar</t>
        </is>
      </c>
      <c r="B4" s="14" t="n"/>
      <c r="C4" s="14" t="n"/>
      <c r="D4" s="14" t="n"/>
      <c r="E4" s="14" t="n"/>
      <c r="F4" s="14" t="n"/>
      <c r="G4" s="14" t="n"/>
      <c r="H4" s="14" t="n"/>
      <c r="I4" s="14" t="n"/>
      <c r="J4" s="14" t="n"/>
      <c r="K4" s="14" t="n"/>
      <c r="L4" s="14" t="n"/>
      <c r="M4" s="14" t="n"/>
      <c r="N4" s="14" t="n"/>
    </row>
    <row r="5" ht="30" customHeight="1">
      <c r="A5" s="3" t="inlineStr">
        <is>
          <t>Week</t>
        </is>
      </c>
      <c r="B5" s="3" t="inlineStr">
        <is>
          <t>Piece</t>
        </is>
      </c>
      <c r="C5" s="3" t="inlineStr">
        <is>
          <t>Type</t>
        </is>
      </c>
      <c r="D5" s="3" t="inlineStr">
        <is>
          <t>Persona</t>
        </is>
      </c>
      <c r="E5" s="3" t="inlineStr">
        <is>
          <t>Shoot owner</t>
        </is>
      </c>
      <c r="F5" s="3" t="inlineStr">
        <is>
          <t>Edit owner</t>
        </is>
      </c>
      <c r="G5" s="3" t="inlineStr">
        <is>
          <t>Channels (Status → broadcast → Shorts → GBP → LinkedIn)</t>
        </is>
      </c>
      <c r="H5" s="3" t="inlineStr">
        <is>
          <t>Posted ✓</t>
        </is>
      </c>
      <c r="I5" s="3" t="inlineStr">
        <is>
          <t>Recipients</t>
        </is>
      </c>
      <c r="J5" s="3" t="inlineStr">
        <is>
          <t>Replies @48h</t>
        </is>
      </c>
      <c r="K5" s="3" t="inlineStr">
        <is>
          <t>Reply rate</t>
        </is>
      </c>
      <c r="L5" s="3" t="inlineStr">
        <is>
          <t>Views @48h</t>
        </is>
      </c>
      <c r="M5" s="3" t="inlineStr">
        <is>
          <t>Reuse</t>
        </is>
      </c>
      <c r="N5" s="3" t="inlineStr">
        <is>
          <t>Verdict</t>
        </is>
      </c>
    </row>
    <row r="6" ht="30" customHeight="1">
      <c r="A6" s="15" t="inlineStr">
        <is>
          <t>W1</t>
        </is>
      </c>
      <c r="B6" s="15" t="inlineStr">
        <is>
          <t>"3 din se 10 minute" — Sharma ji</t>
        </is>
      </c>
      <c r="C6" s="15" t="inlineStr">
        <is>
          <t>Testimonial, 84s</t>
        </is>
      </c>
      <c r="D6" s="15" t="inlineStr">
        <is>
          <t>Owner, 52</t>
        </is>
      </c>
      <c r="E6" s="15" t="inlineStr">
        <is>
          <t>Domain dir</t>
        </is>
      </c>
      <c r="F6" s="15" t="inlineStr">
        <is>
          <t>Third dir</t>
        </is>
      </c>
      <c r="G6" s="15" t="inlineStr">
        <is>
          <t>Status, broadcast, Shorts, GBP</t>
        </is>
      </c>
      <c r="H6" s="15" t="inlineStr">
        <is>
          <t>✓</t>
        </is>
      </c>
      <c r="I6" s="37" t="n">
        <v>34</v>
      </c>
      <c r="J6" s="37" t="n">
        <v>7</v>
      </c>
      <c r="K6" s="60">
        <f>IF(OR(I6="",I6=0),"",J6/I6)</f>
        <v/>
      </c>
      <c r="L6" s="37" t="n">
        <v>260</v>
      </c>
      <c r="M6" s="15" t="inlineStr">
        <is>
          <t>Still + pull-quote for the leave-behind</t>
        </is>
      </c>
      <c r="N6" s="15" t="inlineStr">
        <is>
          <t>keep</t>
        </is>
      </c>
    </row>
    <row r="7" ht="30" customHeight="1">
      <c r="A7" s="15" t="inlineStr">
        <is>
          <t>W2</t>
        </is>
      </c>
      <c r="B7" s="15" t="inlineStr">
        <is>
          <t>"Month-end in 10 minutes"</t>
        </is>
      </c>
      <c r="C7" s="15" t="inlineStr">
        <is>
          <t>Screen recording, 110s</t>
        </is>
      </c>
      <c r="D7" s="15" t="inlineStr">
        <is>
          <t>Accountant</t>
        </is>
      </c>
      <c r="E7" s="15" t="inlineStr">
        <is>
          <t>Third dir</t>
        </is>
      </c>
      <c r="F7" s="15" t="inlineStr">
        <is>
          <t>Third dir</t>
        </is>
      </c>
      <c r="G7" s="15" t="inlineStr">
        <is>
          <t>Status, broadcast, Shorts</t>
        </is>
      </c>
      <c r="H7" s="15" t="inlineStr">
        <is>
          <t>✓</t>
        </is>
      </c>
      <c r="I7" s="37" t="n">
        <v>34</v>
      </c>
      <c r="J7" s="37" t="n">
        <v>3</v>
      </c>
      <c r="K7" s="60">
        <f>IF(OR(I7="",I7=0),"",J7/I7)</f>
        <v/>
      </c>
      <c r="L7" s="37" t="n">
        <v>190</v>
      </c>
      <c r="M7" s="15" t="inlineStr">
        <is>
          <t>Three-line text for WhatsApp openers</t>
        </is>
      </c>
      <c r="N7" s="15" t="inlineStr">
        <is>
          <t>kill</t>
        </is>
      </c>
    </row>
    <row r="8" ht="30" customHeight="1">
      <c r="A8" s="15" t="inlineStr">
        <is>
          <t>W3</t>
        </is>
      </c>
      <c r="B8" s="15" t="inlineStr">
        <is>
          <t>"जो रेट तय हुआ था"</t>
        </is>
      </c>
      <c r="C8" s="15" t="inlineStr">
        <is>
          <t>Story, 62s</t>
        </is>
      </c>
      <c r="D8" s="15" t="inlineStr">
        <is>
          <t>Owner + son</t>
        </is>
      </c>
      <c r="E8" s="15" t="inlineStr">
        <is>
          <t>Domain dir</t>
        </is>
      </c>
      <c r="F8" s="15" t="inlineStr">
        <is>
          <t>Third dir</t>
        </is>
      </c>
      <c r="G8" s="15" t="inlineStr">
        <is>
          <t>Status, broadcast, Shorts, GBP</t>
        </is>
      </c>
      <c r="H8" s="15" t="inlineStr">
        <is>
          <t>✓</t>
        </is>
      </c>
      <c r="I8" s="37" t="n">
        <v>36</v>
      </c>
      <c r="J8" s="37" t="n">
        <v>9</v>
      </c>
      <c r="K8" s="60">
        <f>IF(OR(I8="",I8=0),"",J8/I8)</f>
        <v/>
      </c>
      <c r="L8" s="37" t="n">
        <v>410</v>
      </c>
      <c r="M8" s="15" t="inlineStr">
        <is>
          <t>Landing-page paragraph + proof slot 2</t>
        </is>
      </c>
      <c r="N8" s="15" t="inlineStr">
        <is>
          <t>keep</t>
        </is>
      </c>
    </row>
    <row r="9" ht="30" customHeight="1">
      <c r="A9" s="15" t="inlineStr">
        <is>
          <t>W4</t>
        </is>
      </c>
      <c r="B9" s="15" t="inlineStr">
        <is>
          <t>"TCS ₹50L ke baad", with CA Bhatia</t>
        </is>
      </c>
      <c r="C9" s="15" t="inlineStr">
        <is>
          <t>Explainer with CA, 118s</t>
        </is>
      </c>
      <c r="D9" s="15" t="inlineStr">
        <is>
          <t>Son / accountant</t>
        </is>
      </c>
      <c r="E9" s="15" t="inlineStr">
        <is>
          <t>Third dir</t>
        </is>
      </c>
      <c r="F9" s="15" t="inlineStr">
        <is>
          <t>Third dir</t>
        </is>
      </c>
      <c r="G9" s="15" t="inlineStr">
        <is>
          <t>Status, broadcast, Shorts, LinkedIn</t>
        </is>
      </c>
      <c r="H9" s="15" t="inlineStr">
        <is>
          <t>✓</t>
        </is>
      </c>
      <c r="I9" s="37" t="n">
        <v>36</v>
      </c>
      <c r="J9" s="37" t="n">
        <v>4</v>
      </c>
      <c r="K9" s="60">
        <f>IF(OR(I9="",I9=0),"",J9/I9)</f>
        <v/>
      </c>
      <c r="L9" s="37" t="n">
        <v>150</v>
      </c>
      <c r="M9" s="15" t="inlineStr">
        <is>
          <t>Warm-up asset for the CA partner playbook, not a broadcast</t>
        </is>
      </c>
      <c r="N9" s="15" t="inlineStr">
        <is>
          <t>kill</t>
        </is>
      </c>
    </row>
    <row r="10">
      <c r="A10" s="4" t="inlineStr">
        <is>
          <t>W5</t>
        </is>
      </c>
      <c r="B10" s="20" t="inlineStr"/>
      <c r="C10" s="20" t="inlineStr"/>
      <c r="D10" s="20" t="inlineStr"/>
      <c r="E10" s="20" t="inlineStr"/>
      <c r="F10" s="20" t="inlineStr"/>
      <c r="G10" s="20" t="inlineStr"/>
      <c r="H10" s="20" t="inlineStr"/>
      <c r="I10" s="38" t="inlineStr"/>
      <c r="J10" s="38" t="inlineStr"/>
      <c r="K10" s="31">
        <f>IF(OR(I10="",I10=0),"",J10/I10)</f>
        <v/>
      </c>
      <c r="L10" s="38" t="inlineStr"/>
      <c r="M10" s="20" t="inlineStr"/>
      <c r="N10" s="20" t="inlineStr"/>
    </row>
    <row r="11">
      <c r="A11" s="4" t="inlineStr">
        <is>
          <t>W6</t>
        </is>
      </c>
      <c r="B11" s="20" t="inlineStr"/>
      <c r="C11" s="20" t="inlineStr"/>
      <c r="D11" s="20" t="inlineStr"/>
      <c r="E11" s="20" t="inlineStr"/>
      <c r="F11" s="20" t="inlineStr"/>
      <c r="G11" s="20" t="inlineStr"/>
      <c r="H11" s="20" t="inlineStr"/>
      <c r="I11" s="38" t="inlineStr"/>
      <c r="J11" s="38" t="inlineStr"/>
      <c r="K11" s="31">
        <f>IF(OR(I11="",I11=0),"",J11/I11)</f>
        <v/>
      </c>
      <c r="L11" s="38" t="inlineStr"/>
      <c r="M11" s="20" t="inlineStr"/>
      <c r="N11" s="20" t="inlineStr"/>
    </row>
    <row r="12">
      <c r="A12" s="4" t="inlineStr">
        <is>
          <t>W7</t>
        </is>
      </c>
      <c r="B12" s="20" t="inlineStr"/>
      <c r="C12" s="20" t="inlineStr"/>
      <c r="D12" s="20" t="inlineStr"/>
      <c r="E12" s="20" t="inlineStr"/>
      <c r="F12" s="20" t="inlineStr"/>
      <c r="G12" s="20" t="inlineStr"/>
      <c r="H12" s="20" t="inlineStr"/>
      <c r="I12" s="38" t="inlineStr"/>
      <c r="J12" s="38" t="inlineStr"/>
      <c r="K12" s="31">
        <f>IF(OR(I12="",I12=0),"",J12/I12)</f>
        <v/>
      </c>
      <c r="L12" s="38" t="inlineStr"/>
      <c r="M12" s="20" t="inlineStr"/>
      <c r="N12" s="20" t="inlineStr"/>
    </row>
    <row r="13">
      <c r="A13" s="4" t="inlineStr">
        <is>
          <t>W8</t>
        </is>
      </c>
      <c r="B13" s="20" t="inlineStr"/>
      <c r="C13" s="20" t="inlineStr"/>
      <c r="D13" s="20" t="inlineStr"/>
      <c r="E13" s="20" t="inlineStr"/>
      <c r="F13" s="20" t="inlineStr"/>
      <c r="G13" s="20" t="inlineStr"/>
      <c r="H13" s="20" t="inlineStr"/>
      <c r="I13" s="38" t="inlineStr"/>
      <c r="J13" s="38" t="inlineStr"/>
      <c r="K13" s="31">
        <f>IF(OR(I13="",I13=0),"",J13/I13)</f>
        <v/>
      </c>
      <c r="L13" s="38" t="inlineStr"/>
      <c r="M13" s="20" t="inlineStr"/>
      <c r="N13" s="20" t="inlineStr"/>
    </row>
    <row r="14">
      <c r="A14" s="4" t="inlineStr">
        <is>
          <t>W9</t>
        </is>
      </c>
      <c r="B14" s="20" t="inlineStr"/>
      <c r="C14" s="20" t="inlineStr"/>
      <c r="D14" s="20" t="inlineStr"/>
      <c r="E14" s="20" t="inlineStr"/>
      <c r="F14" s="20" t="inlineStr"/>
      <c r="G14" s="20" t="inlineStr"/>
      <c r="H14" s="20" t="inlineStr"/>
      <c r="I14" s="38" t="inlineStr"/>
      <c r="J14" s="38" t="inlineStr"/>
      <c r="K14" s="31">
        <f>IF(OR(I14="",I14=0),"",J14/I14)</f>
        <v/>
      </c>
      <c r="L14" s="38" t="inlineStr"/>
      <c r="M14" s="20" t="inlineStr"/>
      <c r="N14" s="20" t="inlineStr"/>
    </row>
    <row r="15">
      <c r="A15" s="4" t="inlineStr">
        <is>
          <t>W10</t>
        </is>
      </c>
      <c r="B15" s="20" t="inlineStr"/>
      <c r="C15" s="20" t="inlineStr"/>
      <c r="D15" s="20" t="inlineStr"/>
      <c r="E15" s="20" t="inlineStr"/>
      <c r="F15" s="20" t="inlineStr"/>
      <c r="G15" s="20" t="inlineStr"/>
      <c r="H15" s="20" t="inlineStr"/>
      <c r="I15" s="38" t="inlineStr"/>
      <c r="J15" s="38" t="inlineStr"/>
      <c r="K15" s="31">
        <f>IF(OR(I15="",I15=0),"",J15/I15)</f>
        <v/>
      </c>
      <c r="L15" s="38" t="inlineStr"/>
      <c r="M15" s="20" t="inlineStr"/>
      <c r="N15" s="20" t="inlineStr"/>
    </row>
    <row r="16">
      <c r="A16" s="4" t="inlineStr">
        <is>
          <t>W11</t>
        </is>
      </c>
      <c r="B16" s="20" t="inlineStr"/>
      <c r="C16" s="20" t="inlineStr"/>
      <c r="D16" s="20" t="inlineStr"/>
      <c r="E16" s="20" t="inlineStr"/>
      <c r="F16" s="20" t="inlineStr"/>
      <c r="G16" s="20" t="inlineStr"/>
      <c r="H16" s="20" t="inlineStr"/>
      <c r="I16" s="38" t="inlineStr"/>
      <c r="J16" s="38" t="inlineStr"/>
      <c r="K16" s="31">
        <f>IF(OR(I16="",I16=0),"",J16/I16)</f>
        <v/>
      </c>
      <c r="L16" s="38" t="inlineStr"/>
      <c r="M16" s="20" t="inlineStr"/>
      <c r="N16" s="20" t="inlineStr"/>
    </row>
    <row r="17">
      <c r="A17" s="4" t="inlineStr">
        <is>
          <t>W12</t>
        </is>
      </c>
      <c r="B17" s="20" t="inlineStr"/>
      <c r="C17" s="20" t="inlineStr"/>
      <c r="D17" s="20" t="inlineStr"/>
      <c r="E17" s="20" t="inlineStr"/>
      <c r="F17" s="20" t="inlineStr"/>
      <c r="G17" s="20" t="inlineStr"/>
      <c r="H17" s="20" t="inlineStr"/>
      <c r="I17" s="38" t="inlineStr"/>
      <c r="J17" s="38" t="inlineStr"/>
      <c r="K17" s="31">
        <f>IF(OR(I17="",I17=0),"",J17/I17)</f>
        <v/>
      </c>
      <c r="L17" s="38" t="inlineStr"/>
      <c r="M17" s="20" t="inlineStr"/>
      <c r="N17" s="20" t="inlineStr"/>
    </row>
    <row r="18">
      <c r="A18" s="4" t="inlineStr">
        <is>
          <t>W13</t>
        </is>
      </c>
      <c r="B18" s="20" t="inlineStr"/>
      <c r="C18" s="20" t="inlineStr"/>
      <c r="D18" s="20" t="inlineStr"/>
      <c r="E18" s="20" t="inlineStr"/>
      <c r="F18" s="20" t="inlineStr"/>
      <c r="G18" s="20" t="inlineStr"/>
      <c r="H18" s="20" t="inlineStr"/>
      <c r="I18" s="38" t="inlineStr"/>
      <c r="J18" s="38" t="inlineStr"/>
      <c r="K18" s="31">
        <f>IF(OR(I18="",I18=0),"",J18/I18)</f>
        <v/>
      </c>
      <c r="L18" s="38" t="inlineStr"/>
      <c r="M18" s="20" t="inlineStr"/>
      <c r="N18" s="20" t="inlineStr"/>
    </row>
    <row r="19">
      <c r="A19" s="4" t="inlineStr">
        <is>
          <t>W14</t>
        </is>
      </c>
      <c r="B19" s="20" t="inlineStr"/>
      <c r="C19" s="20" t="inlineStr"/>
      <c r="D19" s="20" t="inlineStr"/>
      <c r="E19" s="20" t="inlineStr"/>
      <c r="F19" s="20" t="inlineStr"/>
      <c r="G19" s="20" t="inlineStr"/>
      <c r="H19" s="20" t="inlineStr"/>
      <c r="I19" s="38" t="inlineStr"/>
      <c r="J19" s="38" t="inlineStr"/>
      <c r="K19" s="31">
        <f>IF(OR(I19="",I19=0),"",J19/I19)</f>
        <v/>
      </c>
      <c r="L19" s="38" t="inlineStr"/>
      <c r="M19" s="20" t="inlineStr"/>
      <c r="N19" s="20" t="inlineStr"/>
    </row>
    <row r="20">
      <c r="A20" s="4" t="inlineStr">
        <is>
          <t>W15</t>
        </is>
      </c>
      <c r="B20" s="20" t="inlineStr"/>
      <c r="C20" s="20" t="inlineStr"/>
      <c r="D20" s="20" t="inlineStr"/>
      <c r="E20" s="20" t="inlineStr"/>
      <c r="F20" s="20" t="inlineStr"/>
      <c r="G20" s="20" t="inlineStr"/>
      <c r="H20" s="20" t="inlineStr"/>
      <c r="I20" s="38" t="inlineStr"/>
      <c r="J20" s="38" t="inlineStr"/>
      <c r="K20" s="31">
        <f>IF(OR(I20="",I20=0),"",J20/I20)</f>
        <v/>
      </c>
      <c r="L20" s="38" t="inlineStr"/>
      <c r="M20" s="20" t="inlineStr"/>
      <c r="N20" s="20" t="inlineStr"/>
    </row>
    <row r="21">
      <c r="A21" s="4" t="inlineStr">
        <is>
          <t>W16</t>
        </is>
      </c>
      <c r="B21" s="20" t="inlineStr"/>
      <c r="C21" s="20" t="inlineStr"/>
      <c r="D21" s="20" t="inlineStr"/>
      <c r="E21" s="20" t="inlineStr"/>
      <c r="F21" s="20" t="inlineStr"/>
      <c r="G21" s="20" t="inlineStr"/>
      <c r="H21" s="20" t="inlineStr"/>
      <c r="I21" s="38" t="inlineStr"/>
      <c r="J21" s="38" t="inlineStr"/>
      <c r="K21" s="31">
        <f>IF(OR(I21="",I21=0),"",J21/I21)</f>
        <v/>
      </c>
      <c r="L21" s="38" t="inlineStr"/>
      <c r="M21" s="20" t="inlineStr"/>
      <c r="N21" s="20" t="inlineStr"/>
    </row>
    <row r="22">
      <c r="A22" s="4" t="inlineStr">
        <is>
          <t>W17</t>
        </is>
      </c>
      <c r="B22" s="20" t="inlineStr"/>
      <c r="C22" s="20" t="inlineStr"/>
      <c r="D22" s="20" t="inlineStr"/>
      <c r="E22" s="20" t="inlineStr"/>
      <c r="F22" s="20" t="inlineStr"/>
      <c r="G22" s="20" t="inlineStr"/>
      <c r="H22" s="20" t="inlineStr"/>
      <c r="I22" s="38" t="inlineStr"/>
      <c r="J22" s="38" t="inlineStr"/>
      <c r="K22" s="31">
        <f>IF(OR(I22="",I22=0),"",J22/I22)</f>
        <v/>
      </c>
      <c r="L22" s="38" t="inlineStr"/>
      <c r="M22" s="20" t="inlineStr"/>
      <c r="N22" s="20" t="inlineStr"/>
    </row>
    <row r="23">
      <c r="A23" s="4" t="inlineStr">
        <is>
          <t>W18</t>
        </is>
      </c>
      <c r="B23" s="20" t="inlineStr"/>
      <c r="C23" s="20" t="inlineStr"/>
      <c r="D23" s="20" t="inlineStr"/>
      <c r="E23" s="20" t="inlineStr"/>
      <c r="F23" s="20" t="inlineStr"/>
      <c r="G23" s="20" t="inlineStr"/>
      <c r="H23" s="20" t="inlineStr"/>
      <c r="I23" s="38" t="inlineStr"/>
      <c r="J23" s="38" t="inlineStr"/>
      <c r="K23" s="31">
        <f>IF(OR(I23="",I23=0),"",J23/I23)</f>
        <v/>
      </c>
      <c r="L23" s="38" t="inlineStr"/>
      <c r="M23" s="20" t="inlineStr"/>
      <c r="N23" s="20" t="inlineStr"/>
    </row>
    <row r="24">
      <c r="A24" s="4" t="inlineStr">
        <is>
          <t>W19</t>
        </is>
      </c>
      <c r="B24" s="20" t="inlineStr"/>
      <c r="C24" s="20" t="inlineStr"/>
      <c r="D24" s="20" t="inlineStr"/>
      <c r="E24" s="20" t="inlineStr"/>
      <c r="F24" s="20" t="inlineStr"/>
      <c r="G24" s="20" t="inlineStr"/>
      <c r="H24" s="20" t="inlineStr"/>
      <c r="I24" s="38" t="inlineStr"/>
      <c r="J24" s="38" t="inlineStr"/>
      <c r="K24" s="31">
        <f>IF(OR(I24="",I24=0),"",J24/I24)</f>
        <v/>
      </c>
      <c r="L24" s="38" t="inlineStr"/>
      <c r="M24" s="20" t="inlineStr"/>
      <c r="N24" s="20" t="inlineStr"/>
    </row>
    <row r="25">
      <c r="A25" s="4" t="inlineStr">
        <is>
          <t>W20</t>
        </is>
      </c>
      <c r="B25" s="20" t="inlineStr"/>
      <c r="C25" s="20" t="inlineStr"/>
      <c r="D25" s="20" t="inlineStr"/>
      <c r="E25" s="20" t="inlineStr"/>
      <c r="F25" s="20" t="inlineStr"/>
      <c r="G25" s="20" t="inlineStr"/>
      <c r="H25" s="20" t="inlineStr"/>
      <c r="I25" s="38" t="inlineStr"/>
      <c r="J25" s="38" t="inlineStr"/>
      <c r="K25" s="31">
        <f>IF(OR(I25="",I25=0),"",J25/I25)</f>
        <v/>
      </c>
      <c r="L25" s="38" t="inlineStr"/>
      <c r="M25" s="20" t="inlineStr"/>
      <c r="N25" s="20" t="inlineStr"/>
    </row>
    <row r="26">
      <c r="A26" s="4" t="inlineStr">
        <is>
          <t>W21</t>
        </is>
      </c>
      <c r="B26" s="20" t="inlineStr"/>
      <c r="C26" s="20" t="inlineStr"/>
      <c r="D26" s="20" t="inlineStr"/>
      <c r="E26" s="20" t="inlineStr"/>
      <c r="F26" s="20" t="inlineStr"/>
      <c r="G26" s="20" t="inlineStr"/>
      <c r="H26" s="20" t="inlineStr"/>
      <c r="I26" s="38" t="inlineStr"/>
      <c r="J26" s="38" t="inlineStr"/>
      <c r="K26" s="31">
        <f>IF(OR(I26="",I26=0),"",J26/I26)</f>
        <v/>
      </c>
      <c r="L26" s="38" t="inlineStr"/>
      <c r="M26" s="20" t="inlineStr"/>
      <c r="N26" s="20" t="inlineStr"/>
    </row>
    <row r="27">
      <c r="A27" s="4" t="inlineStr">
        <is>
          <t>W22</t>
        </is>
      </c>
      <c r="B27" s="20" t="inlineStr"/>
      <c r="C27" s="20" t="inlineStr"/>
      <c r="D27" s="20" t="inlineStr"/>
      <c r="E27" s="20" t="inlineStr"/>
      <c r="F27" s="20" t="inlineStr"/>
      <c r="G27" s="20" t="inlineStr"/>
      <c r="H27" s="20" t="inlineStr"/>
      <c r="I27" s="38" t="inlineStr"/>
      <c r="J27" s="38" t="inlineStr"/>
      <c r="K27" s="31">
        <f>IF(OR(I27="",I27=0),"",J27/I27)</f>
        <v/>
      </c>
      <c r="L27" s="38" t="inlineStr"/>
      <c r="M27" s="20" t="inlineStr"/>
      <c r="N27" s="20" t="inlineStr"/>
    </row>
    <row r="28">
      <c r="A28" s="4" t="inlineStr">
        <is>
          <t>W23</t>
        </is>
      </c>
      <c r="B28" s="20" t="inlineStr"/>
      <c r="C28" s="20" t="inlineStr"/>
      <c r="D28" s="20" t="inlineStr"/>
      <c r="E28" s="20" t="inlineStr"/>
      <c r="F28" s="20" t="inlineStr"/>
      <c r="G28" s="20" t="inlineStr"/>
      <c r="H28" s="20" t="inlineStr"/>
      <c r="I28" s="38" t="inlineStr"/>
      <c r="J28" s="38" t="inlineStr"/>
      <c r="K28" s="31">
        <f>IF(OR(I28="",I28=0),"",J28/I28)</f>
        <v/>
      </c>
      <c r="L28" s="38" t="inlineStr"/>
      <c r="M28" s="20" t="inlineStr"/>
      <c r="N28" s="20" t="inlineStr"/>
    </row>
    <row r="29">
      <c r="A29" s="4" t="inlineStr">
        <is>
          <t>W24</t>
        </is>
      </c>
      <c r="B29" s="20" t="inlineStr"/>
      <c r="C29" s="20" t="inlineStr"/>
      <c r="D29" s="20" t="inlineStr"/>
      <c r="E29" s="20" t="inlineStr"/>
      <c r="F29" s="20" t="inlineStr"/>
      <c r="G29" s="20" t="inlineStr"/>
      <c r="H29" s="20" t="inlineStr"/>
      <c r="I29" s="38" t="inlineStr"/>
      <c r="J29" s="38" t="inlineStr"/>
      <c r="K29" s="31">
        <f>IF(OR(I29="",I29=0),"",J29/I29)</f>
        <v/>
      </c>
      <c r="L29" s="38" t="inlineStr"/>
      <c r="M29" s="20" t="inlineStr"/>
      <c r="N29" s="20" t="inlineStr"/>
    </row>
    <row r="30">
      <c r="A30" s="4" t="inlineStr">
        <is>
          <t>W25</t>
        </is>
      </c>
      <c r="B30" s="20" t="inlineStr"/>
      <c r="C30" s="20" t="inlineStr"/>
      <c r="D30" s="20" t="inlineStr"/>
      <c r="E30" s="20" t="inlineStr"/>
      <c r="F30" s="20" t="inlineStr"/>
      <c r="G30" s="20" t="inlineStr"/>
      <c r="H30" s="20" t="inlineStr"/>
      <c r="I30" s="38" t="inlineStr"/>
      <c r="J30" s="38" t="inlineStr"/>
      <c r="K30" s="31">
        <f>IF(OR(I30="",I30=0),"",J30/I30)</f>
        <v/>
      </c>
      <c r="L30" s="38" t="inlineStr"/>
      <c r="M30" s="20" t="inlineStr"/>
      <c r="N30" s="20" t="inlineStr"/>
    </row>
    <row r="31">
      <c r="A31" s="4" t="inlineStr">
        <is>
          <t>W26</t>
        </is>
      </c>
      <c r="B31" s="20" t="inlineStr"/>
      <c r="C31" s="20" t="inlineStr"/>
      <c r="D31" s="20" t="inlineStr"/>
      <c r="E31" s="20" t="inlineStr"/>
      <c r="F31" s="20" t="inlineStr"/>
      <c r="G31" s="20" t="inlineStr"/>
      <c r="H31" s="20" t="inlineStr"/>
      <c r="I31" s="38" t="inlineStr"/>
      <c r="J31" s="38" t="inlineStr"/>
      <c r="K31" s="31">
        <f>IF(OR(I31="",I31=0),"",J31/I31)</f>
        <v/>
      </c>
      <c r="L31" s="38" t="inlineStr"/>
      <c r="M31" s="20" t="inlineStr"/>
      <c r="N31" s="20" t="inlineStr"/>
    </row>
    <row r="33">
      <c r="A33" s="13" t="inlineStr">
        <is>
          <t>B. Rows that go to the Marketing Scorecard and the campaign post-mortem</t>
        </is>
      </c>
      <c r="B33" s="14" t="n"/>
      <c r="C33" s="14" t="n"/>
      <c r="D33" s="14" t="n"/>
      <c r="E33" s="14" t="n"/>
      <c r="F33" s="14" t="n"/>
      <c r="G33" s="14" t="n"/>
      <c r="H33" s="14" t="n"/>
      <c r="I33" s="14" t="n"/>
      <c r="J33" s="14" t="n"/>
      <c r="K33" s="14" t="n"/>
      <c r="L33" s="14" t="n"/>
      <c r="M33" s="14" t="n"/>
      <c r="N33" s="14" t="n"/>
    </row>
    <row r="34" ht="30" customHeight="1">
      <c r="A34" s="3" t="inlineStr">
        <is>
          <t>Row</t>
        </is>
      </c>
      <c r="B34" s="3" t="inlineStr">
        <is>
          <t>Formula</t>
        </is>
      </c>
      <c r="C34" s="3" t="inlineStr">
        <is>
          <t>Value</t>
        </is>
      </c>
      <c r="D34" s="3" t="inlineStr">
        <is>
          <t>Goal</t>
        </is>
      </c>
      <c r="E34" s="3" t="inlineStr">
        <is>
          <t>Cadence</t>
        </is>
      </c>
      <c r="F34" s="3" t="inlineStr"/>
      <c r="G34" s="3" t="inlineStr"/>
      <c r="H34" s="3" t="inlineStr"/>
      <c r="I34" s="3" t="inlineStr"/>
      <c r="J34" s="3" t="inlineStr"/>
      <c r="K34" s="3" t="inlineStr"/>
      <c r="L34" s="3" t="inlineStr"/>
      <c r="M34" s="3" t="inlineStr"/>
      <c r="N34" s="3" t="inlineStr"/>
    </row>
    <row r="35">
      <c r="A35" s="4" t="inlineStr">
        <is>
          <t>WhatsApp reply rate (rolling, all filled weeks)</t>
        </is>
      </c>
      <c r="B35" s="4" t="inlineStr">
        <is>
          <t>Σ replies ÷ Σ recipients — never the average of the weekly percentages</t>
        </is>
      </c>
      <c r="C35" s="31">
        <f>IF(SUM(I6:I31)=0,"",SUM(J6:J31)/SUM(I6:I31))</f>
        <v/>
      </c>
      <c r="D35" s="46" t="n">
        <v>0.15</v>
      </c>
      <c r="E35" s="4" t="inlineStr">
        <is>
          <t>Weekly — one of HC8's eight, scorecard row 7</t>
        </is>
      </c>
    </row>
    <row r="36">
      <c r="A36" s="4" t="inlineStr">
        <is>
          <t>Pieces published</t>
        </is>
      </c>
      <c r="B36" s="4" t="inlineStr">
        <is>
          <t>Rows marked Posted ✓</t>
        </is>
      </c>
      <c r="C36" s="25">
        <f>COUNTIF(H6:H31,"✓")</f>
        <v/>
      </c>
      <c r="D36" s="4" t="n">
        <v>1</v>
      </c>
      <c r="E36" s="4" t="inlineStr">
        <is>
          <t>Weekly, hygiene — one a week, forever</t>
        </is>
      </c>
    </row>
    <row r="37">
      <c r="A37" s="4" t="inlineStr">
        <is>
          <t>Median views @48h</t>
        </is>
      </c>
      <c r="B37" s="4" t="inlineStr">
        <is>
          <t>Vanity on its own; useful only next to replies</t>
        </is>
      </c>
      <c r="C37" s="25">
        <f>IF(COUNT(L6:L31)=0,"",MEDIAN(L6:L31))</f>
        <v/>
      </c>
      <c r="D37" s="4" t="inlineStr"/>
      <c r="E37" s="4" t="inlineStr">
        <is>
          <t>Monthly, context only</t>
        </is>
      </c>
    </row>
    <row r="38">
      <c r="A38" s="4" t="inlineStr">
        <is>
          <t>Click-to-chat conversion</t>
        </is>
      </c>
      <c r="B38" s="4" t="inlineStr">
        <is>
          <t>Chats opened ÷ page visits — hand-counted on Friday from the inbox; GA4 sees the click, only the inbox sees the conversation</t>
        </is>
      </c>
      <c r="C38" s="48" t="inlineStr"/>
      <c r="D38" s="46" t="n">
        <v>0.05</v>
      </c>
      <c r="E38" s="4" t="inlineStr">
        <is>
          <t>Monthly, into the campaign post-mortem</t>
        </is>
      </c>
    </row>
    <row r="40">
      <c r="A40" s="13" t="inlineStr">
        <is>
          <t>C. The broadcast rules — break one and the number your pipeline lives in gets banned</t>
        </is>
      </c>
      <c r="B40" s="14" t="n"/>
      <c r="C40" s="14" t="n"/>
      <c r="D40" s="14" t="n"/>
      <c r="E40" s="14" t="n"/>
      <c r="F40" s="14" t="n"/>
      <c r="G40" s="14" t="n"/>
      <c r="H40" s="14" t="n"/>
      <c r="I40" s="14" t="n"/>
      <c r="J40" s="14" t="n"/>
      <c r="K40" s="14" t="n"/>
      <c r="L40" s="14" t="n"/>
      <c r="M40" s="14" t="n"/>
      <c r="N40" s="14" t="n"/>
    </row>
    <row r="41" ht="30" customHeight="1">
      <c r="A41" s="3" t="inlineStr">
        <is>
          <t>Rule</t>
        </is>
      </c>
      <c r="B41" s="3" t="inlineStr">
        <is>
          <t>What it says</t>
        </is>
      </c>
      <c r="C41" s="3" t="inlineStr"/>
      <c r="D41" s="3" t="inlineStr"/>
      <c r="E41" s="3" t="inlineStr"/>
      <c r="F41" s="3" t="inlineStr"/>
      <c r="G41" s="3" t="inlineStr"/>
      <c r="H41" s="3" t="inlineStr"/>
      <c r="I41" s="3" t="inlineStr"/>
      <c r="J41" s="3" t="inlineStr"/>
      <c r="K41" s="3" t="inlineStr"/>
      <c r="L41" s="3" t="inlineStr"/>
      <c r="M41" s="3" t="inlineStr"/>
      <c r="N41" s="3" t="inlineStr"/>
    </row>
    <row r="42" ht="28" customHeight="1">
      <c r="A42" s="15" t="inlineStr">
        <is>
          <t>Opt-in</t>
        </is>
      </c>
      <c r="B42" s="15" t="inlineStr">
        <is>
          <t>Before any broadcast. The line must say the person agrees to receive messages AND name the business. A tick on the pump-visit form or on the site both count.</t>
        </is>
      </c>
      <c r="C42" s="26" t="n"/>
      <c r="D42" s="26" t="n"/>
      <c r="E42" s="26" t="n"/>
      <c r="F42" s="26" t="n"/>
      <c r="G42" s="26" t="n"/>
      <c r="H42" s="26" t="n"/>
      <c r="I42" s="26" t="n"/>
      <c r="J42" s="26" t="n"/>
      <c r="K42" s="26" t="n"/>
      <c r="L42" s="26" t="n"/>
      <c r="M42" s="26" t="n"/>
      <c r="N42" s="27" t="n"/>
    </row>
    <row r="43" ht="28" customHeight="1">
      <c r="A43" s="15" t="inlineStr">
        <is>
          <t>Saved your number</t>
        </is>
      </c>
      <c r="B43" s="15" t="inlineStr">
        <is>
          <t>A broadcast reaches only people who saved your number. They receive nothing otherwise — and you conclude, wrongly, that the channel is dead.</t>
        </is>
      </c>
      <c r="C43" s="26" t="n"/>
      <c r="D43" s="26" t="n"/>
      <c r="E43" s="26" t="n"/>
      <c r="F43" s="26" t="n"/>
      <c r="G43" s="26" t="n"/>
      <c r="H43" s="26" t="n"/>
      <c r="I43" s="26" t="n"/>
      <c r="J43" s="26" t="n"/>
      <c r="K43" s="26" t="n"/>
      <c r="L43" s="26" t="n"/>
      <c r="M43" s="26" t="n"/>
      <c r="N43" s="27" t="n"/>
    </row>
    <row r="44" ht="28" customHeight="1">
      <c r="A44" s="15" t="inlineStr">
        <is>
          <t>Cadence</t>
        </is>
      </c>
      <c r="B44" s="15" t="inlineStr">
        <is>
          <t>One per list per week, maximum. Never Sunday; 10:30–12:30 or 16:00–18:00.</t>
        </is>
      </c>
      <c r="C44" s="26" t="n"/>
      <c r="D44" s="26" t="n"/>
      <c r="E44" s="26" t="n"/>
      <c r="F44" s="26" t="n"/>
      <c r="G44" s="26" t="n"/>
      <c r="H44" s="26" t="n"/>
      <c r="I44" s="26" t="n"/>
      <c r="J44" s="26" t="n"/>
      <c r="K44" s="26" t="n"/>
      <c r="L44" s="26" t="n"/>
      <c r="M44" s="26" t="n"/>
      <c r="N44" s="27" t="n"/>
    </row>
    <row r="45" ht="28" customHeight="1">
      <c r="A45" s="15" t="inlineStr">
        <is>
          <t>Shape</t>
        </is>
      </c>
      <c r="B45" s="15" t="inlineStr">
        <is>
          <t>Proof → one line → one tap. Five lines or fewer, one link, one action.</t>
        </is>
      </c>
      <c r="C45" s="26" t="n"/>
      <c r="D45" s="26" t="n"/>
      <c r="E45" s="26" t="n"/>
      <c r="F45" s="26" t="n"/>
      <c r="G45" s="26" t="n"/>
      <c r="H45" s="26" t="n"/>
      <c r="I45" s="26" t="n"/>
      <c r="J45" s="26" t="n"/>
      <c r="K45" s="26" t="n"/>
      <c r="L45" s="26" t="n"/>
      <c r="M45" s="26" t="n"/>
      <c r="N45" s="27" t="n"/>
    </row>
    <row r="46" ht="28" customHeight="1">
      <c r="A46" s="15" t="inlineStr">
        <is>
          <t>Reply SLA</t>
        </is>
      </c>
      <c r="B46" s="15" t="inlineStr">
        <is>
          <t>Two working hours between 09:00 and 20:00; one working day always. A broadcast you do not staff is worse than none.</t>
        </is>
      </c>
      <c r="C46" s="26" t="n"/>
      <c r="D46" s="26" t="n"/>
      <c r="E46" s="26" t="n"/>
      <c r="F46" s="26" t="n"/>
      <c r="G46" s="26" t="n"/>
      <c r="H46" s="26" t="n"/>
      <c r="I46" s="26" t="n"/>
      <c r="J46" s="26" t="n"/>
      <c r="K46" s="26" t="n"/>
      <c r="L46" s="26" t="n"/>
      <c r="M46" s="26" t="n"/>
      <c r="N46" s="27" t="n"/>
    </row>
    <row r="47" ht="28" customHeight="1">
      <c r="A47" s="15" t="inlineStr">
        <is>
          <t>List size</t>
        </is>
      </c>
      <c r="B47" s="15" t="inlineStr">
        <is>
          <t>One list, ≤256 dealers. When it outgrows the app — the same message to 200+ dealers, or a second list — that is the trigger for the API, and only then.</t>
        </is>
      </c>
      <c r="C47" s="26" t="n"/>
      <c r="D47" s="26" t="n"/>
      <c r="E47" s="26" t="n"/>
      <c r="F47" s="26" t="n"/>
      <c r="G47" s="26" t="n"/>
      <c r="H47" s="26" t="n"/>
      <c r="I47" s="26" t="n"/>
      <c r="J47" s="26" t="n"/>
      <c r="K47" s="26" t="n"/>
      <c r="L47" s="26" t="n"/>
      <c r="M47" s="26" t="n"/>
      <c r="N47" s="27" t="n"/>
    </row>
    <row r="48" ht="28" customHeight="1">
      <c r="A48" s="15" t="inlineStr">
        <is>
          <t>UTMs</t>
        </is>
      </c>
      <c r="B48" s="15" t="inlineStr">
        <is>
          <t>utm_source, utm_medium, utm_campaign on every outbound link. House form: ?utm_source=whatsapp&amp;utm_medium=broadcast&amp;utm_campaign=raipur100-w07</t>
        </is>
      </c>
      <c r="C48" s="26" t="n"/>
      <c r="D48" s="26" t="n"/>
      <c r="E48" s="26" t="n"/>
      <c r="F48" s="26" t="n"/>
      <c r="G48" s="26" t="n"/>
      <c r="H48" s="26" t="n"/>
      <c r="I48" s="26" t="n"/>
      <c r="J48" s="26" t="n"/>
      <c r="K48" s="26" t="n"/>
      <c r="L48" s="26" t="n"/>
      <c r="M48" s="26" t="n"/>
      <c r="N48" s="27" t="n"/>
    </row>
    <row r="49" ht="28" customHeight="1">
      <c r="A49" s="15" t="inlineStr">
        <is>
          <t>The CTA</t>
        </is>
      </c>
      <c r="B49" s="15" t="inlineStr">
        <is>
          <t>A chat, not a form. wa.me/91XXXXXXXXXX?text=&lt;url-encoded first line&gt; — international format, no zeroes, brackets or dashes. Nobody in this market fills a form.</t>
        </is>
      </c>
      <c r="C49" s="26" t="n"/>
      <c r="D49" s="26" t="n"/>
      <c r="E49" s="26" t="n"/>
      <c r="F49" s="26" t="n"/>
      <c r="G49" s="26" t="n"/>
      <c r="H49" s="26" t="n"/>
      <c r="I49" s="26" t="n"/>
      <c r="J49" s="26" t="n"/>
      <c r="K49" s="26" t="n"/>
      <c r="L49" s="26" t="n"/>
      <c r="M49" s="26" t="n"/>
      <c r="N49" s="27" t="n"/>
    </row>
    <row r="51" ht="56" customHeight="1">
      <c r="A51" s="12" t="inlineStr">
        <is>
          <t>Reading the four example weeks: the story-shaped pieces out-pull the explanatory ones two to one, so W5–W8 become dealer stories from other tehsils and the CA explainer survives as a partner warm-up, not a broadcast. Rolling reply rate 16.4% clears the ≥15% goal; click-to-chat 4.6% falls just short. Founder time for the month: five hours. Count replies by hand — the free WhatsApp Business app has no dashboard. India WhatsApp pricing ≈ ₹0.86 per marketing message, ₹0.115 per utility, + BSP markup ₹0.10–0.30 + 18% GST — VERIFY LIVE with the BSP.</t>
        </is>
      </c>
    </row>
  </sheetData>
  <mergeCells count="9">
    <mergeCell ref="B46:N46"/>
    <mergeCell ref="B45:N45"/>
    <mergeCell ref="B49:N49"/>
    <mergeCell ref="B43:N43"/>
    <mergeCell ref="B44:N44"/>
    <mergeCell ref="B48:N48"/>
    <mergeCell ref="A51:N51"/>
    <mergeCell ref="B47:N47"/>
    <mergeCell ref="B42:N42"/>
  </mergeCells>
  <conditionalFormatting sqref="K6:K31">
    <cfRule type="cellIs" priority="1" operator="lessThan" dxfId="0">
      <formula>0.15</formula>
    </cfRule>
  </conditionalFormatting>
  <conditionalFormatting sqref="C35">
    <cfRule type="cellIs" priority="2" operator="lessThan" dxfId="1">
      <formula>0.15</formula>
    </cfRule>
  </conditionalFormatting>
  <dataValidations count="5">
    <dataValidation sqref="C6:C31" showDropDown="0" showInputMessage="0" showErrorMessage="1" allowBlank="1" errorTitle="Pick from list" error="Please pick a value from the dropdown." type="list">
      <formula1>"Testimonial video,Screen recording,Story,Explainer with CA,Lead magnet,Other"</formula1>
    </dataValidation>
    <dataValidation sqref="E6:E31" showDropDown="0" showInputMessage="0" showErrorMessage="1" allowBlank="1" errorTitle="Pick from list" error="Please pick a value from the dropdown." type="list">
      <formula1>"CEO,Domain dir,Third dir"</formula1>
    </dataValidation>
    <dataValidation sqref="F6:F31" showDropDown="0" showInputMessage="0" showErrorMessage="1" allowBlank="1" errorTitle="Pick from list" error="Please pick a value from the dropdown." type="list">
      <formula1>"CEO,Domain dir,Third dir"</formula1>
    </dataValidation>
    <dataValidation sqref="H6:H31" showDropDown="0" showInputMessage="0" showErrorMessage="1" allowBlank="1" errorTitle="Pick from list" error="Please pick a value from the dropdown." type="list">
      <formula1>"✓,not yet,dropped"</formula1>
    </dataValidation>
    <dataValidation sqref="N6:N31" showDropDown="0" showInputMessage="0" showErrorMessage="1" allowBlank="1" errorTitle="Pick from list" error="Please pick a value from the dropdown." type="list">
      <formula1>"keep,kill"</formula1>
    </dataValidation>
  </dataValidations>
  <pageMargins left="0.75" right="0.75" top="1" bottom="1" header="0.5" footer="0.5"/>
</worksheet>
</file>

<file path=xl/worksheets/sheet8.xml><?xml version="1.0" encoding="utf-8"?>
<worksheet xmlns="http://schemas.openxmlformats.org/spreadsheetml/2006/main">
  <sheetPr>
    <tabColor rgb="00475569"/>
    <outlinePr summaryBelow="1" summaryRight="1"/>
    <pageSetUpPr/>
  </sheetPr>
  <dimension ref="A1:J6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32" customWidth="1" min="2" max="2"/>
    <col width="13" customWidth="1" min="3" max="3"/>
    <col width="13" customWidth="1" min="4" max="4"/>
    <col width="18" customWidth="1" min="5" max="5"/>
    <col width="14" customWidth="1" min="6" max="6"/>
    <col width="13" customWidth="1" min="7" max="7"/>
    <col width="18" customWidth="1" min="8" max="8"/>
    <col width="13" customWidth="1" min="9" max="9"/>
    <col width="34" customWidth="1" min="10" max="10"/>
  </cols>
  <sheetData>
    <row r="1" ht="23" customHeight="1">
      <c r="A1" s="1" t="inlineStr">
        <is>
          <t>Referral Tracker — every Dealer Dost ask, including the ones that failed</t>
        </is>
      </c>
    </row>
    <row r="2" ht="26" customHeight="1">
      <c r="A2" s="2" t="inlineStr">
        <is>
          <t>Fills M09 §C. One row per REFERRED PUMP, never 'two names given'. Logged the same day, always — even if he said no. Reviewed Friday, 30 minutes. The ask is made at the activation moment, never at the sale, and never in the first 14 days. Ask only for the two pumps he already talks to. Reward on payment, not signup — the strongest anti-fraud lever there is. All rupee figures VERIFY LIVE against the signed tier sheet.</t>
        </is>
      </c>
    </row>
    <row r="4">
      <c r="A4" s="13" t="inlineStr">
        <is>
          <t>A. The tracker</t>
        </is>
      </c>
      <c r="B4" s="14" t="n"/>
      <c r="C4" s="14" t="n"/>
      <c r="D4" s="14" t="n"/>
      <c r="E4" s="14" t="n"/>
      <c r="F4" s="14" t="n"/>
      <c r="G4" s="14" t="n"/>
      <c r="H4" s="14" t="n"/>
      <c r="I4" s="14" t="n"/>
      <c r="J4" s="14" t="n"/>
    </row>
    <row r="5" ht="30" customHeight="1">
      <c r="A5" s="3" t="inlineStr">
        <is>
          <t>Referrer (dealer + pump)</t>
        </is>
      </c>
      <c r="B5" s="3" t="inlineStr">
        <is>
          <t>Referred pump (name, owner, place)</t>
        </is>
      </c>
      <c r="C5" s="3" t="inlineStr">
        <is>
          <t>Date asked</t>
        </is>
      </c>
      <c r="D5" s="3" t="inlineStr">
        <is>
          <t>Date received</t>
        </is>
      </c>
      <c r="E5" s="3" t="inlineStr">
        <is>
          <t>Stage</t>
        </is>
      </c>
      <c r="F5" s="3" t="inlineStr">
        <is>
          <t>Reward due ₹</t>
        </is>
      </c>
      <c r="G5" s="3" t="inlineStr">
        <is>
          <t>Paid on</t>
        </is>
      </c>
      <c r="H5" s="3" t="inlineStr">
        <is>
          <t>UTR</t>
        </is>
      </c>
      <c r="I5" s="3" t="inlineStr">
        <is>
          <t>Owner (ours)</t>
        </is>
      </c>
      <c r="J5" s="3" t="inlineStr">
        <is>
          <t>Note</t>
        </is>
      </c>
    </row>
    <row r="6" ht="28" customHeight="1">
      <c r="A6" s="15" t="inlineStr">
        <is>
          <t>Sharma ji — Dhamtari Road Fuels</t>
        </is>
      </c>
      <c r="B6" s="15" t="inlineStr">
        <is>
          <t>HP outlet, Tatibandh — owner N. Chandrakar</t>
        </is>
      </c>
      <c r="C6" s="19" t="n">
        <v>46255</v>
      </c>
      <c r="D6" s="19" t="n">
        <v>46255</v>
      </c>
      <c r="E6" s="15" t="inlineStr">
        <is>
          <t>Name received</t>
        </is>
      </c>
      <c r="F6" s="53">
        <f>IF(E6="","",IF(E6="Paying",5000,IF(E6="Live",2000,0)))</f>
        <v/>
      </c>
      <c r="I6" s="15" t="inlineStr">
        <is>
          <t>Domain dir.</t>
        </is>
      </c>
      <c r="J6" s="15" t="inlineStr">
        <is>
          <t>Three-way WhatsApp group made on the spot. Next step Monday.</t>
        </is>
      </c>
    </row>
    <row r="7" ht="28" customHeight="1">
      <c r="A7" s="15" t="inlineStr">
        <is>
          <t>Sharma ji — Dhamtari Road Fuels</t>
        </is>
      </c>
      <c r="B7" s="15" t="inlineStr">
        <is>
          <t>Cousin's pump, Abhanpur — owner P. Sharma</t>
        </is>
      </c>
      <c r="C7" s="19" t="n">
        <v>46255</v>
      </c>
      <c r="D7" s="19" t="n">
        <v>46255</v>
      </c>
      <c r="E7" s="15" t="inlineStr">
        <is>
          <t>Name received</t>
        </is>
      </c>
      <c r="F7" s="53">
        <f>IF(E7="","",IF(E7="Paying",5000,IF(E7="Live",2000,0)))</f>
        <v/>
      </c>
      <c r="I7" s="15" t="inlineStr">
        <is>
          <t>Domain dir.</t>
        </is>
      </c>
      <c r="J7" s="15" t="inlineStr">
        <is>
          <t>Forwarded our message. Meeting not yet agreed.</t>
        </is>
      </c>
    </row>
    <row r="8" ht="28" customHeight="1">
      <c r="A8" s="15" t="inlineStr">
        <is>
          <t>R. Verma — Maa Danteshwari Fuels</t>
        </is>
      </c>
      <c r="B8" s="15" t="inlineStr">
        <is>
          <t>Kharora highway pump — owner S. Sahu</t>
        </is>
      </c>
      <c r="C8" s="19" t="n">
        <v>46217</v>
      </c>
      <c r="D8" s="19" t="n">
        <v>46219</v>
      </c>
      <c r="E8" s="15" t="inlineStr">
        <is>
          <t>Live</t>
        </is>
      </c>
      <c r="F8" s="53">
        <f>IF(E8="","",IF(E8="Paying",5000,IF(E8="Live",2000,0)))</f>
        <v/>
      </c>
      <c r="I8" s="15" t="inlineStr">
        <is>
          <t>Domain dir.</t>
        </is>
      </c>
      <c r="J8" s="15" t="inlineStr">
        <is>
          <t>Went live on one outlet 12 Aug. First ₹2,000 due — CEO to sign the payout.</t>
        </is>
      </c>
    </row>
    <row r="9" ht="28" customHeight="1">
      <c r="A9" s="15" t="inlineStr">
        <is>
          <t>R. Verma — Maa Danteshwari Fuels</t>
        </is>
      </c>
      <c r="B9" s="15" t="inlineStr">
        <is>
          <t>Mandir Hasaud pump — owner A. Yadav</t>
        </is>
      </c>
      <c r="C9" s="19" t="n">
        <v>46203</v>
      </c>
      <c r="D9" s="19" t="n">
        <v>46205</v>
      </c>
      <c r="E9" s="15" t="inlineStr">
        <is>
          <t>Paying</t>
        </is>
      </c>
      <c r="F9" s="53">
        <f>IF(E9="","",IF(E9="Paying",5000,IF(E9="Live",2000,0)))</f>
        <v/>
      </c>
      <c r="G9" s="19" t="n">
        <v>46254</v>
      </c>
      <c r="H9" s="15" t="inlineStr">
        <is>
          <t>UTR 2026082012345678</t>
        </is>
      </c>
      <c r="I9" s="15" t="inlineStr">
        <is>
          <t>Domain dir.</t>
        </is>
      </c>
      <c r="J9" s="15" t="inlineStr">
        <is>
          <t>Month-3 payment received. Full ₹5,000 paid.</t>
        </is>
      </c>
    </row>
    <row r="10" ht="28" customHeight="1">
      <c r="A10" s="15" t="inlineStr">
        <is>
          <t>M. Agrawal — Shree Balaji Filling</t>
        </is>
      </c>
      <c r="B10" s="15" t="inlineStr">
        <is>
          <t>Birgaon pump — owner (name not given)</t>
        </is>
      </c>
      <c r="C10" s="19" t="n">
        <v>46246</v>
      </c>
      <c r="E10" s="15" t="inlineStr">
        <is>
          <t>Asked</t>
        </is>
      </c>
      <c r="F10" s="53">
        <f>IF(E10="","",IF(E10="Paying",5000,IF(E10="Live",2000,0)))</f>
        <v/>
      </c>
      <c r="I10" s="15" t="inlineStr">
        <is>
          <t>CEO</t>
        </is>
      </c>
      <c r="J10" s="15" t="inlineStr">
        <is>
          <t>Said he would think about it. Logged anyway — the failures are the honest half of the sheet.</t>
        </is>
      </c>
    </row>
    <row r="11">
      <c r="A11" s="20" t="inlineStr"/>
      <c r="B11" s="20" t="inlineStr"/>
      <c r="C11" s="24" t="inlineStr"/>
      <c r="D11" s="24" t="inlineStr"/>
      <c r="E11" s="20" t="inlineStr"/>
      <c r="F11" s="52">
        <f>IF(E11="","",IF(E11="Paying",5000,IF(E11="Live",2000,0)))</f>
        <v/>
      </c>
      <c r="G11" s="24" t="inlineStr"/>
      <c r="H11" s="20" t="inlineStr"/>
      <c r="I11" s="20" t="inlineStr"/>
      <c r="J11" s="20" t="inlineStr"/>
    </row>
    <row r="12">
      <c r="A12" s="20" t="inlineStr"/>
      <c r="B12" s="20" t="inlineStr"/>
      <c r="C12" s="24" t="inlineStr"/>
      <c r="D12" s="24" t="inlineStr"/>
      <c r="E12" s="20" t="inlineStr"/>
      <c r="F12" s="52">
        <f>IF(E12="","",IF(E12="Paying",5000,IF(E12="Live",2000,0)))</f>
        <v/>
      </c>
      <c r="G12" s="24" t="inlineStr"/>
      <c r="H12" s="20" t="inlineStr"/>
      <c r="I12" s="20" t="inlineStr"/>
      <c r="J12" s="20" t="inlineStr"/>
    </row>
    <row r="13">
      <c r="A13" s="20" t="inlineStr"/>
      <c r="B13" s="20" t="inlineStr"/>
      <c r="C13" s="24" t="inlineStr"/>
      <c r="D13" s="24" t="inlineStr"/>
      <c r="E13" s="20" t="inlineStr"/>
      <c r="F13" s="52">
        <f>IF(E13="","",IF(E13="Paying",5000,IF(E13="Live",2000,0)))</f>
        <v/>
      </c>
      <c r="G13" s="24" t="inlineStr"/>
      <c r="H13" s="20" t="inlineStr"/>
      <c r="I13" s="20" t="inlineStr"/>
      <c r="J13" s="20" t="inlineStr"/>
    </row>
    <row r="14">
      <c r="A14" s="20" t="inlineStr"/>
      <c r="B14" s="20" t="inlineStr"/>
      <c r="C14" s="24" t="inlineStr"/>
      <c r="D14" s="24" t="inlineStr"/>
      <c r="E14" s="20" t="inlineStr"/>
      <c r="F14" s="52">
        <f>IF(E14="","",IF(E14="Paying",5000,IF(E14="Live",2000,0)))</f>
        <v/>
      </c>
      <c r="G14" s="24" t="inlineStr"/>
      <c r="H14" s="20" t="inlineStr"/>
      <c r="I14" s="20" t="inlineStr"/>
      <c r="J14" s="20" t="inlineStr"/>
    </row>
    <row r="15">
      <c r="A15" s="20" t="inlineStr"/>
      <c r="B15" s="20" t="inlineStr"/>
      <c r="C15" s="24" t="inlineStr"/>
      <c r="D15" s="24" t="inlineStr"/>
      <c r="E15" s="20" t="inlineStr"/>
      <c r="F15" s="52">
        <f>IF(E15="","",IF(E15="Paying",5000,IF(E15="Live",2000,0)))</f>
        <v/>
      </c>
      <c r="G15" s="24" t="inlineStr"/>
      <c r="H15" s="20" t="inlineStr"/>
      <c r="I15" s="20" t="inlineStr"/>
      <c r="J15" s="20" t="inlineStr"/>
    </row>
    <row r="16">
      <c r="A16" s="20" t="inlineStr"/>
      <c r="B16" s="20" t="inlineStr"/>
      <c r="C16" s="24" t="inlineStr"/>
      <c r="D16" s="24" t="inlineStr"/>
      <c r="E16" s="20" t="inlineStr"/>
      <c r="F16" s="52">
        <f>IF(E16="","",IF(E16="Paying",5000,IF(E16="Live",2000,0)))</f>
        <v/>
      </c>
      <c r="G16" s="24" t="inlineStr"/>
      <c r="H16" s="20" t="inlineStr"/>
      <c r="I16" s="20" t="inlineStr"/>
      <c r="J16" s="20" t="inlineStr"/>
    </row>
    <row r="17">
      <c r="A17" s="20" t="inlineStr"/>
      <c r="B17" s="20" t="inlineStr"/>
      <c r="C17" s="24" t="inlineStr"/>
      <c r="D17" s="24" t="inlineStr"/>
      <c r="E17" s="20" t="inlineStr"/>
      <c r="F17" s="52">
        <f>IF(E17="","",IF(E17="Paying",5000,IF(E17="Live",2000,0)))</f>
        <v/>
      </c>
      <c r="G17" s="24" t="inlineStr"/>
      <c r="H17" s="20" t="inlineStr"/>
      <c r="I17" s="20" t="inlineStr"/>
      <c r="J17" s="20" t="inlineStr"/>
    </row>
    <row r="18">
      <c r="A18" s="20" t="inlineStr"/>
      <c r="B18" s="20" t="inlineStr"/>
      <c r="C18" s="24" t="inlineStr"/>
      <c r="D18" s="24" t="inlineStr"/>
      <c r="E18" s="20" t="inlineStr"/>
      <c r="F18" s="52">
        <f>IF(E18="","",IF(E18="Paying",5000,IF(E18="Live",2000,0)))</f>
        <v/>
      </c>
      <c r="G18" s="24" t="inlineStr"/>
      <c r="H18" s="20" t="inlineStr"/>
      <c r="I18" s="20" t="inlineStr"/>
      <c r="J18" s="20" t="inlineStr"/>
    </row>
    <row r="19">
      <c r="A19" s="20" t="inlineStr"/>
      <c r="B19" s="20" t="inlineStr"/>
      <c r="C19" s="24" t="inlineStr"/>
      <c r="D19" s="24" t="inlineStr"/>
      <c r="E19" s="20" t="inlineStr"/>
      <c r="F19" s="52">
        <f>IF(E19="","",IF(E19="Paying",5000,IF(E19="Live",2000,0)))</f>
        <v/>
      </c>
      <c r="G19" s="24" t="inlineStr"/>
      <c r="H19" s="20" t="inlineStr"/>
      <c r="I19" s="20" t="inlineStr"/>
      <c r="J19" s="20" t="inlineStr"/>
    </row>
    <row r="20">
      <c r="A20" s="20" t="inlineStr"/>
      <c r="B20" s="20" t="inlineStr"/>
      <c r="C20" s="24" t="inlineStr"/>
      <c r="D20" s="24" t="inlineStr"/>
      <c r="E20" s="20" t="inlineStr"/>
      <c r="F20" s="52">
        <f>IF(E20="","",IF(E20="Paying",5000,IF(E20="Live",2000,0)))</f>
        <v/>
      </c>
      <c r="G20" s="24" t="inlineStr"/>
      <c r="H20" s="20" t="inlineStr"/>
      <c r="I20" s="20" t="inlineStr"/>
      <c r="J20" s="20" t="inlineStr"/>
    </row>
    <row r="21">
      <c r="A21" s="20" t="inlineStr"/>
      <c r="B21" s="20" t="inlineStr"/>
      <c r="C21" s="24" t="inlineStr"/>
      <c r="D21" s="24" t="inlineStr"/>
      <c r="E21" s="20" t="inlineStr"/>
      <c r="F21" s="52">
        <f>IF(E21="","",IF(E21="Paying",5000,IF(E21="Live",2000,0)))</f>
        <v/>
      </c>
      <c r="G21" s="24" t="inlineStr"/>
      <c r="H21" s="20" t="inlineStr"/>
      <c r="I21" s="20" t="inlineStr"/>
      <c r="J21" s="20" t="inlineStr"/>
    </row>
    <row r="22">
      <c r="A22" s="20" t="inlineStr"/>
      <c r="B22" s="20" t="inlineStr"/>
      <c r="C22" s="24" t="inlineStr"/>
      <c r="D22" s="24" t="inlineStr"/>
      <c r="E22" s="20" t="inlineStr"/>
      <c r="F22" s="52">
        <f>IF(E22="","",IF(E22="Paying",5000,IF(E22="Live",2000,0)))</f>
        <v/>
      </c>
      <c r="G22" s="24" t="inlineStr"/>
      <c r="H22" s="20" t="inlineStr"/>
      <c r="I22" s="20" t="inlineStr"/>
      <c r="J22" s="20" t="inlineStr"/>
    </row>
    <row r="23">
      <c r="A23" s="20" t="inlineStr"/>
      <c r="B23" s="20" t="inlineStr"/>
      <c r="C23" s="24" t="inlineStr"/>
      <c r="D23" s="24" t="inlineStr"/>
      <c r="E23" s="20" t="inlineStr"/>
      <c r="F23" s="52">
        <f>IF(E23="","",IF(E23="Paying",5000,IF(E23="Live",2000,0)))</f>
        <v/>
      </c>
      <c r="G23" s="24" t="inlineStr"/>
      <c r="H23" s="20" t="inlineStr"/>
      <c r="I23" s="20" t="inlineStr"/>
      <c r="J23" s="20" t="inlineStr"/>
    </row>
    <row r="24">
      <c r="A24" s="20" t="inlineStr"/>
      <c r="B24" s="20" t="inlineStr"/>
      <c r="C24" s="24" t="inlineStr"/>
      <c r="D24" s="24" t="inlineStr"/>
      <c r="E24" s="20" t="inlineStr"/>
      <c r="F24" s="52">
        <f>IF(E24="","",IF(E24="Paying",5000,IF(E24="Live",2000,0)))</f>
        <v/>
      </c>
      <c r="G24" s="24" t="inlineStr"/>
      <c r="H24" s="20" t="inlineStr"/>
      <c r="I24" s="20" t="inlineStr"/>
      <c r="J24" s="20" t="inlineStr"/>
    </row>
    <row r="25">
      <c r="A25" s="20" t="inlineStr"/>
      <c r="B25" s="20" t="inlineStr"/>
      <c r="C25" s="24" t="inlineStr"/>
      <c r="D25" s="24" t="inlineStr"/>
      <c r="E25" s="20" t="inlineStr"/>
      <c r="F25" s="52">
        <f>IF(E25="","",IF(E25="Paying",5000,IF(E25="Live",2000,0)))</f>
        <v/>
      </c>
      <c r="G25" s="24" t="inlineStr"/>
      <c r="H25" s="20" t="inlineStr"/>
      <c r="I25" s="20" t="inlineStr"/>
      <c r="J25" s="20" t="inlineStr"/>
    </row>
    <row r="26">
      <c r="A26" s="20" t="inlineStr"/>
      <c r="B26" s="20" t="inlineStr"/>
      <c r="C26" s="24" t="inlineStr"/>
      <c r="D26" s="24" t="inlineStr"/>
      <c r="E26" s="20" t="inlineStr"/>
      <c r="F26" s="52">
        <f>IF(E26="","",IF(E26="Paying",5000,IF(E26="Live",2000,0)))</f>
        <v/>
      </c>
      <c r="G26" s="24" t="inlineStr"/>
      <c r="H26" s="20" t="inlineStr"/>
      <c r="I26" s="20" t="inlineStr"/>
      <c r="J26" s="20" t="inlineStr"/>
    </row>
    <row r="27">
      <c r="A27" s="20" t="inlineStr"/>
      <c r="B27" s="20" t="inlineStr"/>
      <c r="C27" s="24" t="inlineStr"/>
      <c r="D27" s="24" t="inlineStr"/>
      <c r="E27" s="20" t="inlineStr"/>
      <c r="F27" s="52">
        <f>IF(E27="","",IF(E27="Paying",5000,IF(E27="Live",2000,0)))</f>
        <v/>
      </c>
      <c r="G27" s="24" t="inlineStr"/>
      <c r="H27" s="20" t="inlineStr"/>
      <c r="I27" s="20" t="inlineStr"/>
      <c r="J27" s="20" t="inlineStr"/>
    </row>
    <row r="28">
      <c r="A28" s="20" t="inlineStr"/>
      <c r="B28" s="20" t="inlineStr"/>
      <c r="C28" s="24" t="inlineStr"/>
      <c r="D28" s="24" t="inlineStr"/>
      <c r="E28" s="20" t="inlineStr"/>
      <c r="F28" s="52">
        <f>IF(E28="","",IF(E28="Paying",5000,IF(E28="Live",2000,0)))</f>
        <v/>
      </c>
      <c r="G28" s="24" t="inlineStr"/>
      <c r="H28" s="20" t="inlineStr"/>
      <c r="I28" s="20" t="inlineStr"/>
      <c r="J28" s="20" t="inlineStr"/>
    </row>
    <row r="29">
      <c r="A29" s="20" t="inlineStr"/>
      <c r="B29" s="20" t="inlineStr"/>
      <c r="C29" s="24" t="inlineStr"/>
      <c r="D29" s="24" t="inlineStr"/>
      <c r="E29" s="20" t="inlineStr"/>
      <c r="F29" s="52">
        <f>IF(E29="","",IF(E29="Paying",5000,IF(E29="Live",2000,0)))</f>
        <v/>
      </c>
      <c r="G29" s="24" t="inlineStr"/>
      <c r="H29" s="20" t="inlineStr"/>
      <c r="I29" s="20" t="inlineStr"/>
      <c r="J29" s="20" t="inlineStr"/>
    </row>
    <row r="30">
      <c r="A30" s="20" t="inlineStr"/>
      <c r="B30" s="20" t="inlineStr"/>
      <c r="C30" s="24" t="inlineStr"/>
      <c r="D30" s="24" t="inlineStr"/>
      <c r="E30" s="20" t="inlineStr"/>
      <c r="F30" s="52">
        <f>IF(E30="","",IF(E30="Paying",5000,IF(E30="Live",2000,0)))</f>
        <v/>
      </c>
      <c r="G30" s="24" t="inlineStr"/>
      <c r="H30" s="20" t="inlineStr"/>
      <c r="I30" s="20" t="inlineStr"/>
      <c r="J30" s="20" t="inlineStr"/>
    </row>
    <row r="31">
      <c r="A31" s="20" t="inlineStr"/>
      <c r="B31" s="20" t="inlineStr"/>
      <c r="C31" s="24" t="inlineStr"/>
      <c r="D31" s="24" t="inlineStr"/>
      <c r="E31" s="20" t="inlineStr"/>
      <c r="F31" s="52">
        <f>IF(E31="","",IF(E31="Paying",5000,IF(E31="Live",2000,0)))</f>
        <v/>
      </c>
      <c r="G31" s="24" t="inlineStr"/>
      <c r="H31" s="20" t="inlineStr"/>
      <c r="I31" s="20" t="inlineStr"/>
      <c r="J31" s="20" t="inlineStr"/>
    </row>
    <row r="32">
      <c r="A32" s="20" t="inlineStr"/>
      <c r="B32" s="20" t="inlineStr"/>
      <c r="C32" s="24" t="inlineStr"/>
      <c r="D32" s="24" t="inlineStr"/>
      <c r="E32" s="20" t="inlineStr"/>
      <c r="F32" s="52">
        <f>IF(E32="","",IF(E32="Paying",5000,IF(E32="Live",2000,0)))</f>
        <v/>
      </c>
      <c r="G32" s="24" t="inlineStr"/>
      <c r="H32" s="20" t="inlineStr"/>
      <c r="I32" s="20" t="inlineStr"/>
      <c r="J32" s="20" t="inlineStr"/>
    </row>
    <row r="33">
      <c r="A33" s="20" t="inlineStr"/>
      <c r="B33" s="20" t="inlineStr"/>
      <c r="C33" s="24" t="inlineStr"/>
      <c r="D33" s="24" t="inlineStr"/>
      <c r="E33" s="20" t="inlineStr"/>
      <c r="F33" s="52">
        <f>IF(E33="","",IF(E33="Paying",5000,IF(E33="Live",2000,0)))</f>
        <v/>
      </c>
      <c r="G33" s="24" t="inlineStr"/>
      <c r="H33" s="20" t="inlineStr"/>
      <c r="I33" s="20" t="inlineStr"/>
      <c r="J33" s="20" t="inlineStr"/>
    </row>
    <row r="34">
      <c r="A34" s="20" t="inlineStr"/>
      <c r="B34" s="20" t="inlineStr"/>
      <c r="C34" s="24" t="inlineStr"/>
      <c r="D34" s="24" t="inlineStr"/>
      <c r="E34" s="20" t="inlineStr"/>
      <c r="F34" s="52">
        <f>IF(E34="","",IF(E34="Paying",5000,IF(E34="Live",2000,0)))</f>
        <v/>
      </c>
      <c r="G34" s="24" t="inlineStr"/>
      <c r="H34" s="20" t="inlineStr"/>
      <c r="I34" s="20" t="inlineStr"/>
      <c r="J34" s="20" t="inlineStr"/>
    </row>
    <row r="35">
      <c r="A35" s="20" t="inlineStr"/>
      <c r="B35" s="20" t="inlineStr"/>
      <c r="C35" s="24" t="inlineStr"/>
      <c r="D35" s="24" t="inlineStr"/>
      <c r="E35" s="20" t="inlineStr"/>
      <c r="F35" s="52">
        <f>IF(E35="","",IF(E35="Paying",5000,IF(E35="Live",2000,0)))</f>
        <v/>
      </c>
      <c r="G35" s="24" t="inlineStr"/>
      <c r="H35" s="20" t="inlineStr"/>
      <c r="I35" s="20" t="inlineStr"/>
      <c r="J35" s="20" t="inlineStr"/>
    </row>
    <row r="36">
      <c r="A36" s="20" t="inlineStr"/>
      <c r="B36" s="20" t="inlineStr"/>
      <c r="C36" s="24" t="inlineStr"/>
      <c r="D36" s="24" t="inlineStr"/>
      <c r="E36" s="20" t="inlineStr"/>
      <c r="F36" s="52">
        <f>IF(E36="","",IF(E36="Paying",5000,IF(E36="Live",2000,0)))</f>
        <v/>
      </c>
      <c r="G36" s="24" t="inlineStr"/>
      <c r="H36" s="20" t="inlineStr"/>
      <c r="I36" s="20" t="inlineStr"/>
      <c r="J36" s="20" t="inlineStr"/>
    </row>
    <row r="37">
      <c r="A37" s="20" t="inlineStr"/>
      <c r="B37" s="20" t="inlineStr"/>
      <c r="C37" s="24" t="inlineStr"/>
      <c r="D37" s="24" t="inlineStr"/>
      <c r="E37" s="20" t="inlineStr"/>
      <c r="F37" s="52">
        <f>IF(E37="","",IF(E37="Paying",5000,IF(E37="Live",2000,0)))</f>
        <v/>
      </c>
      <c r="G37" s="24" t="inlineStr"/>
      <c r="H37" s="20" t="inlineStr"/>
      <c r="I37" s="20" t="inlineStr"/>
      <c r="J37" s="20" t="inlineStr"/>
    </row>
    <row r="38">
      <c r="A38" s="20" t="inlineStr"/>
      <c r="B38" s="20" t="inlineStr"/>
      <c r="C38" s="24" t="inlineStr"/>
      <c r="D38" s="24" t="inlineStr"/>
      <c r="E38" s="20" t="inlineStr"/>
      <c r="F38" s="52">
        <f>IF(E38="","",IF(E38="Paying",5000,IF(E38="Live",2000,0)))</f>
        <v/>
      </c>
      <c r="G38" s="24" t="inlineStr"/>
      <c r="H38" s="20" t="inlineStr"/>
      <c r="I38" s="20" t="inlineStr"/>
      <c r="J38" s="20" t="inlineStr"/>
    </row>
    <row r="39">
      <c r="A39" s="20" t="inlineStr"/>
      <c r="B39" s="20" t="inlineStr"/>
      <c r="C39" s="24" t="inlineStr"/>
      <c r="D39" s="24" t="inlineStr"/>
      <c r="E39" s="20" t="inlineStr"/>
      <c r="F39" s="52">
        <f>IF(E39="","",IF(E39="Paying",5000,IF(E39="Live",2000,0)))</f>
        <v/>
      </c>
      <c r="G39" s="24" t="inlineStr"/>
      <c r="H39" s="20" t="inlineStr"/>
      <c r="I39" s="20" t="inlineStr"/>
      <c r="J39" s="20" t="inlineStr"/>
    </row>
    <row r="40">
      <c r="A40" s="20" t="inlineStr"/>
      <c r="B40" s="20" t="inlineStr"/>
      <c r="C40" s="24" t="inlineStr"/>
      <c r="D40" s="24" t="inlineStr"/>
      <c r="E40" s="20" t="inlineStr"/>
      <c r="F40" s="52">
        <f>IF(E40="","",IF(E40="Paying",5000,IF(E40="Live",2000,0)))</f>
        <v/>
      </c>
      <c r="G40" s="24" t="inlineStr"/>
      <c r="H40" s="20" t="inlineStr"/>
      <c r="I40" s="20" t="inlineStr"/>
      <c r="J40" s="20" t="inlineStr"/>
    </row>
    <row r="42">
      <c r="A42" s="13" t="inlineStr">
        <is>
          <t>B. Totals — read every Friday, 30 minutes</t>
        </is>
      </c>
      <c r="B42" s="14" t="n"/>
      <c r="C42" s="14" t="n"/>
      <c r="D42" s="14" t="n"/>
      <c r="E42" s="14" t="n"/>
      <c r="F42" s="14" t="n"/>
      <c r="G42" s="14" t="n"/>
      <c r="H42" s="14" t="n"/>
      <c r="I42" s="14" t="n"/>
      <c r="J42" s="14" t="n"/>
    </row>
    <row r="43" ht="30" customHeight="1">
      <c r="A43" s="3" t="inlineStr">
        <is>
          <t>Count / amount</t>
        </is>
      </c>
      <c r="B43" s="3" t="inlineStr">
        <is>
          <t>Value</t>
        </is>
      </c>
      <c r="C43" s="3" t="inlineStr">
        <is>
          <t>Rule</t>
        </is>
      </c>
      <c r="D43" s="3" t="inlineStr"/>
      <c r="E43" s="3" t="inlineStr"/>
      <c r="F43" s="3" t="inlineStr"/>
      <c r="G43" s="3" t="inlineStr"/>
      <c r="H43" s="3" t="inlineStr"/>
      <c r="I43" s="3" t="inlineStr"/>
      <c r="J43" s="3" t="inlineStr"/>
    </row>
    <row r="44" ht="26" customHeight="1">
      <c r="A44" s="4" t="inlineStr">
        <is>
          <t>Asks made (rows logged)</t>
        </is>
      </c>
      <c r="B44" s="25">
        <f>SUMPRODUCT(1*(A6:A40&lt;&gt;""))</f>
        <v/>
      </c>
      <c r="C44" s="4" t="inlineStr">
        <is>
          <t>Every ask, including the ones that went nowhere. Scorecard: referrals asked, goal 5/week.</t>
        </is>
      </c>
      <c r="D44" s="26" t="n"/>
      <c r="E44" s="26" t="n"/>
      <c r="F44" s="26" t="n"/>
      <c r="G44" s="26" t="n"/>
      <c r="H44" s="26" t="n"/>
      <c r="I44" s="26" t="n"/>
      <c r="J44" s="27" t="n"/>
    </row>
    <row r="45" ht="26" customHeight="1">
      <c r="A45" s="4" t="inlineStr">
        <is>
          <t>Names received</t>
        </is>
      </c>
      <c r="B45" s="25">
        <f>SUMPRODUCT(1*(D6:D40&lt;&gt;""))</f>
        <v/>
      </c>
      <c r="C45" s="4" t="inlineStr">
        <is>
          <t>A name is not a referral. Scorecard row 6 counts what actually arrived.</t>
        </is>
      </c>
      <c r="D45" s="26" t="n"/>
      <c r="E45" s="26" t="n"/>
      <c r="F45" s="26" t="n"/>
      <c r="G45" s="26" t="n"/>
      <c r="H45" s="26" t="n"/>
      <c r="I45" s="26" t="n"/>
      <c r="J45" s="27" t="n"/>
    </row>
    <row r="46" ht="26" customHeight="1">
      <c r="A46" s="4" t="inlineStr">
        <is>
          <t>Meetings agreed</t>
        </is>
      </c>
      <c r="B46" s="25">
        <f>COUNTIF(E6:E40,"Meeting agreed")</f>
        <v/>
      </c>
      <c r="C46" s="4" t="inlineStr">
        <is>
          <t>This is where a name becomes a referral — the owner agreed to meet us.</t>
        </is>
      </c>
      <c r="D46" s="26" t="n"/>
      <c r="E46" s="26" t="n"/>
      <c r="F46" s="26" t="n"/>
      <c r="G46" s="26" t="n"/>
      <c r="H46" s="26" t="n"/>
      <c r="I46" s="26" t="n"/>
      <c r="J46" s="27" t="n"/>
    </row>
    <row r="47" ht="26" customHeight="1">
      <c r="A47" s="4" t="inlineStr">
        <is>
          <t>Live</t>
        </is>
      </c>
      <c r="B47" s="25">
        <f>COUNTIF(E6:E40,"Live")</f>
        <v/>
      </c>
      <c r="C47" s="4" t="inlineStr">
        <is>
          <t>First bounty falls due here: ₹2,000 on go-live at one outlet. VERIFY LIVE.</t>
        </is>
      </c>
      <c r="D47" s="26" t="n"/>
      <c r="E47" s="26" t="n"/>
      <c r="F47" s="26" t="n"/>
      <c r="G47" s="26" t="n"/>
      <c r="H47" s="26" t="n"/>
      <c r="I47" s="26" t="n"/>
      <c r="J47" s="27" t="n"/>
    </row>
    <row r="48" ht="26" customHeight="1">
      <c r="A48" s="4" t="inlineStr">
        <is>
          <t>Paying (month 3)</t>
        </is>
      </c>
      <c r="B48" s="25">
        <f>COUNTIF(E6:E40,"Paying")</f>
        <v/>
      </c>
      <c r="C48" s="4" t="inlineStr">
        <is>
          <t>Second bounty falls due: a further ₹3,000, ₹5,000 in total. VERIFY LIVE.</t>
        </is>
      </c>
      <c r="D48" s="26" t="n"/>
      <c r="E48" s="26" t="n"/>
      <c r="F48" s="26" t="n"/>
      <c r="G48" s="26" t="n"/>
      <c r="H48" s="26" t="n"/>
      <c r="I48" s="26" t="n"/>
      <c r="J48" s="27" t="n"/>
    </row>
    <row r="49" ht="26" customHeight="1">
      <c r="A49" s="4" t="inlineStr">
        <is>
          <t>Ask → name conversion</t>
        </is>
      </c>
      <c r="B49" s="31">
        <f>IF(SUMPRODUCT(1*(A6:A40&lt;&gt;""))=0,"",SUMPRODUCT(1*(D6:D40&lt;&gt;""))/SUMPRODUCT(1*(A6:A40&lt;&gt;"")))</f>
        <v/>
      </c>
      <c r="C49" s="4" t="inlineStr">
        <is>
          <t>Under 50% usually means the ask was generic. Never 'do you know anyone?' — ask for the two pumps he already talks to.</t>
        </is>
      </c>
      <c r="D49" s="26" t="n"/>
      <c r="E49" s="26" t="n"/>
      <c r="F49" s="26" t="n"/>
      <c r="G49" s="26" t="n"/>
      <c r="H49" s="26" t="n"/>
      <c r="I49" s="26" t="n"/>
      <c r="J49" s="27" t="n"/>
    </row>
    <row r="50" ht="26" customHeight="1">
      <c r="A50" s="4" t="inlineStr">
        <is>
          <t>Total reward due ₹</t>
        </is>
      </c>
      <c r="B50" s="52">
        <f>SUM(F6:F40)</f>
        <v/>
      </c>
      <c r="C50" s="4" t="inlineStr">
        <is>
          <t>Accrue it in the campaign budget the moment a row goes Live, not when it is paid.</t>
        </is>
      </c>
      <c r="D50" s="26" t="n"/>
      <c r="E50" s="26" t="n"/>
      <c r="F50" s="26" t="n"/>
      <c r="G50" s="26" t="n"/>
      <c r="H50" s="26" t="n"/>
      <c r="I50" s="26" t="n"/>
      <c r="J50" s="27" t="n"/>
    </row>
    <row r="51" ht="26" customHeight="1">
      <c r="A51" s="4" t="inlineStr">
        <is>
          <t>Total paid ₹</t>
        </is>
      </c>
      <c r="B51" s="52">
        <f>SUMIFS(F6:F40,G6:G40,"&gt;0")</f>
        <v/>
      </c>
      <c r="C51" s="4" t="inlineStr">
        <is>
          <t>Paid means a UTR is in the row. No UTR, not paid.</t>
        </is>
      </c>
      <c r="D51" s="26" t="n"/>
      <c r="E51" s="26" t="n"/>
      <c r="F51" s="26" t="n"/>
      <c r="G51" s="26" t="n"/>
      <c r="H51" s="26" t="n"/>
      <c r="I51" s="26" t="n"/>
      <c r="J51" s="27" t="n"/>
    </row>
    <row r="52" ht="26" customHeight="1">
      <c r="A52" s="4" t="inlineStr">
        <is>
          <t>Outstanding ₹</t>
        </is>
      </c>
      <c r="B52" s="51">
        <f>B50-B51</f>
        <v/>
      </c>
      <c r="C52" s="4" t="inlineStr">
        <is>
          <t>What we owe dealers right now. A withdrawn or delayed reward costs more trust than it bought.</t>
        </is>
      </c>
      <c r="D52" s="26" t="n"/>
      <c r="E52" s="26" t="n"/>
      <c r="F52" s="26" t="n"/>
      <c r="G52" s="26" t="n"/>
      <c r="H52" s="26" t="n"/>
      <c r="I52" s="26" t="n"/>
      <c r="J52" s="27" t="n"/>
    </row>
    <row r="53" ht="26" customHeight="1">
      <c r="A53" s="4" t="inlineStr">
        <is>
          <t>Largest single referrer, ₹ this FY</t>
        </is>
      </c>
      <c r="B53" s="52">
        <f>IF(COUNTA(A6:A40)=0,"",MAX(SUMIF(A6:A40,A6:A40,F6:F40)))</f>
        <v/>
      </c>
      <c r="C53" s="4" t="inlineStr">
        <is>
          <t>Array formula — confirm with Ctrl+Shift+Enter in older Excel. TDS at 10% under §194R can apply once benefits to ONE recipient cross ₹20,000 in a financial year. The CA signs off before the first payout. VERIFY LIVE.</t>
        </is>
      </c>
      <c r="D53" s="26" t="n"/>
      <c r="E53" s="26" t="n"/>
      <c r="F53" s="26" t="n"/>
      <c r="G53" s="26" t="n"/>
      <c r="H53" s="26" t="n"/>
      <c r="I53" s="26" t="n"/>
      <c r="J53" s="27" t="n"/>
    </row>
    <row r="55">
      <c r="A55" s="13" t="inlineStr">
        <is>
          <t>C. The ask — say it, do not send it</t>
        </is>
      </c>
      <c r="B55" s="14" t="n"/>
      <c r="C55" s="14" t="n"/>
      <c r="D55" s="14" t="n"/>
      <c r="E55" s="14" t="n"/>
      <c r="F55" s="14" t="n"/>
      <c r="G55" s="14" t="n"/>
      <c r="H55" s="14" t="n"/>
      <c r="I55" s="14" t="n"/>
      <c r="J55" s="14" t="n"/>
    </row>
    <row r="56" ht="30" customHeight="1">
      <c r="A56" s="3" t="inlineStr">
        <is>
          <t>Moment</t>
        </is>
      </c>
      <c r="B56" s="3" t="inlineStr">
        <is>
          <t>What you open with</t>
        </is>
      </c>
      <c r="C56" s="3" t="inlineStr">
        <is>
          <t>What you ask for</t>
        </is>
      </c>
      <c r="D56" s="3" t="inlineStr"/>
      <c r="E56" s="3" t="inlineStr"/>
      <c r="F56" s="3" t="inlineStr"/>
      <c r="G56" s="3" t="inlineStr"/>
      <c r="H56" s="3" t="inlineStr"/>
      <c r="I56" s="3" t="inlineStr"/>
      <c r="J56" s="3" t="inlineStr"/>
    </row>
    <row r="57">
      <c r="A57" s="15" t="inlineStr">
        <is>
          <t>First clean month-end</t>
        </is>
      </c>
      <c r="B57" s="15" t="inlineStr">
        <is>
          <t>"Sir, is mahine month-end saaf nikla — koi ledger ka jhagda nahi."</t>
        </is>
      </c>
      <c r="C57" s="15" t="inlineStr">
        <is>
          <t>The two pumps he already talks to, by name</t>
        </is>
      </c>
      <c r="D57" s="26" t="n"/>
      <c r="E57" s="26" t="n"/>
      <c r="F57" s="26" t="n"/>
      <c r="G57" s="26" t="n"/>
      <c r="H57" s="26" t="n"/>
      <c r="I57" s="26" t="n"/>
      <c r="J57" s="27" t="n"/>
    </row>
    <row r="58">
      <c r="A58" s="15" t="inlineStr">
        <is>
          <t>First dispute avoided</t>
        </is>
      </c>
      <c r="B58" s="15" t="inlineStr">
        <is>
          <t>"Wo rate wali baat OTP se ek minute mein khatam ho gayi na?"</t>
        </is>
      </c>
      <c r="C58" s="15" t="inlineStr">
        <is>
          <t>The same two names</t>
        </is>
      </c>
      <c r="D58" s="26" t="n"/>
      <c r="E58" s="26" t="n"/>
      <c r="F58" s="26" t="n"/>
      <c r="G58" s="26" t="n"/>
      <c r="H58" s="26" t="n"/>
      <c r="I58" s="26" t="n"/>
      <c r="J58" s="27" t="n"/>
    </row>
    <row r="59">
      <c r="A59" s="15" t="inlineStr">
        <is>
          <t>Unprompted praise</t>
        </is>
      </c>
      <c r="B59" s="15" t="inlineStr">
        <is>
          <t>Stop the conversation right there</t>
        </is>
      </c>
      <c r="C59" s="15" t="inlineStr">
        <is>
          <t>The same two names</t>
        </is>
      </c>
      <c r="D59" s="26" t="n"/>
      <c r="E59" s="26" t="n"/>
      <c r="F59" s="26" t="n"/>
      <c r="G59" s="26" t="n"/>
      <c r="H59" s="26" t="n"/>
      <c r="I59" s="26" t="n"/>
      <c r="J59" s="27" t="n"/>
    </row>
    <row r="60">
      <c r="A60" s="15" t="inlineStr">
        <is>
          <t>NEVER</t>
        </is>
      </c>
      <c r="B60" s="15" t="inlineStr">
        <is>
          <t>At the sale, or in the first 14 days</t>
        </is>
      </c>
      <c r="C60" s="15" t="inlineStr">
        <is>
          <t>—</t>
        </is>
      </c>
      <c r="D60" s="26" t="n"/>
      <c r="E60" s="26" t="n"/>
      <c r="F60" s="26" t="n"/>
      <c r="G60" s="26" t="n"/>
      <c r="H60" s="26" t="n"/>
      <c r="I60" s="26" t="n"/>
      <c r="J60" s="27" t="n"/>
    </row>
    <row r="62" ht="56" customHeight="1">
      <c r="A62" s="12" t="inlineStr">
        <is>
          <t>Then remove the work: he can (1) forward our message, (2) send the name and number, or (3) make a three-way WhatsApp group and type one line. Ask for (3), accept (1). Before using any proof asset take consent on WhatsApp in his own words, and blur customer names in any screenshot. Terms, in plain words: the same PAN or GSTIN cannot sit on both sides; a name counts once the owner agrees to meet us; the reward is clawed back if the pump leaves within six months. 88% of people trust recommendations from people they know, above every other marketing message — which is why this is channel one in HC4, not a nice-to-have.</t>
        </is>
      </c>
    </row>
  </sheetData>
  <mergeCells count="15">
    <mergeCell ref="C48:J48"/>
    <mergeCell ref="C59:J59"/>
    <mergeCell ref="C51:J51"/>
    <mergeCell ref="C46:J46"/>
    <mergeCell ref="C47:J47"/>
    <mergeCell ref="A62:J62"/>
    <mergeCell ref="C58:J58"/>
    <mergeCell ref="C60:J60"/>
    <mergeCell ref="C50:J50"/>
    <mergeCell ref="C44:J44"/>
    <mergeCell ref="C57:J57"/>
    <mergeCell ref="C52:J52"/>
    <mergeCell ref="C53:J53"/>
    <mergeCell ref="C45:J45"/>
    <mergeCell ref="C49:J49"/>
  </mergeCells>
  <conditionalFormatting sqref="F6:F40">
    <cfRule type="cellIs" priority="1" operator="greaterThan" dxfId="2">
      <formula>0</formula>
    </cfRule>
  </conditionalFormatting>
  <conditionalFormatting sqref="B53">
    <cfRule type="cellIs" priority="2" operator="greaterThanOrEqual" dxfId="0">
      <formula>20000</formula>
    </cfRule>
  </conditionalFormatting>
  <dataValidations count="2">
    <dataValidation sqref="E6:E40" showDropDown="0" showInputMessage="0" showErrorMessage="1" allowBlank="1" errorTitle="Stage" error="Please pick a value from the dropdown." type="list">
      <formula1>"Asked,Name received,Meeting agreed,Demo,Live,Paying,Declined"</formula1>
    </dataValidation>
    <dataValidation sqref="I6:I40" showDropDown="0" showInputMessage="0" showErrorMessage="1" allowBlank="1" errorTitle="Pick from list" error="Please pick a value from the dropdown." type="list">
      <formula1>"CEO,Domain dir.,Third dir."</formula1>
    </dataValidation>
  </dataValidations>
  <pageMargins left="0.75" right="0.75" top="1" bottom="1" header="0.5" footer="0.5"/>
</worksheet>
</file>

<file path=xl/worksheets/sheet9.xml><?xml version="1.0" encoding="utf-8"?>
<worksheet xmlns="http://schemas.openxmlformats.org/spreadsheetml/2006/main">
  <sheetPr>
    <tabColor rgb="00475569"/>
    <outlinePr summaryBelow="1" summaryRight="1"/>
    <pageSetUpPr/>
  </sheetPr>
  <dimension ref="A1:Q5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46" customWidth="1" min="2" max="2"/>
    <col width="12" customWidth="1" min="3" max="3"/>
    <col width="12" customWidth="1" min="4" max="4"/>
    <col width="11" customWidth="1" min="5" max="5"/>
    <col width="13" customWidth="1" min="6" max="6"/>
    <col width="12" customWidth="1" min="7" max="7"/>
    <col width="14" customWidth="1" min="8" max="8"/>
    <col width="24" customWidth="1" min="9" max="9"/>
    <col width="22" customWidth="1" min="10" max="10"/>
    <col width="11" customWidth="1" min="11" max="11"/>
    <col width="10" customWidth="1" min="12" max="12"/>
    <col width="12" customWidth="1" min="13" max="13"/>
    <col width="13" customWidth="1" min="14" max="14"/>
    <col width="12" customWidth="1" min="15" max="15"/>
    <col width="13" customWidth="1" min="16" max="16"/>
    <col width="34" customWidth="1" min="17" max="17"/>
  </cols>
  <sheetData>
    <row r="1" ht="23" customHeight="1">
      <c r="A1" s="1" t="inlineStr">
        <is>
          <t>Channel Experiments — one channel, two weeks, one number, a verdict</t>
        </is>
      </c>
    </row>
    <row r="2" ht="26" customHeight="1">
      <c r="A2" s="2" t="inlineStr">
        <is>
          <t>Fills lesson 05 §6 and exercise 10.3; reviewed monthly per lesson 11 §7. Exactly one channel per row — two at once teach nothing about either. The kill line is written BEFORE the start date and the verdict cell stays empty until the end date, which goes in the calendar as a 15-minute meeting named 'Verdict: &lt;channel&gt;'. Two weeks is deliberate: long enough for an association meeting or a CA callback, short enough that a bad channel costs a fortnight.</t>
        </is>
      </c>
    </row>
    <row r="4">
      <c r="A4" s="13" t="inlineStr">
        <is>
          <t>A. The experiments</t>
        </is>
      </c>
      <c r="B4" s="14" t="n"/>
      <c r="C4" s="14" t="n"/>
      <c r="D4" s="14" t="n"/>
      <c r="E4" s="14" t="n"/>
      <c r="F4" s="14" t="n"/>
      <c r="G4" s="14" t="n"/>
      <c r="H4" s="14" t="n"/>
      <c r="I4" s="14" t="n"/>
      <c r="J4" s="14" t="n"/>
      <c r="K4" s="14" t="n"/>
      <c r="L4" s="14" t="n"/>
      <c r="M4" s="14" t="n"/>
      <c r="N4" s="14" t="n"/>
      <c r="O4" s="14" t="n"/>
      <c r="P4" s="14" t="n"/>
      <c r="Q4" s="14" t="n"/>
    </row>
    <row r="5" ht="30" customHeight="1">
      <c r="A5" s="3" t="inlineStr">
        <is>
          <t>Channel</t>
        </is>
      </c>
      <c r="B5" s="3" t="inlineStr">
        <is>
          <t>Hypothesis (one falsifiable sentence)</t>
        </is>
      </c>
      <c r="C5" s="3" t="inlineStr">
        <is>
          <t>Start</t>
        </is>
      </c>
      <c r="D5" s="3" t="inlineStr">
        <is>
          <t>End (+14 days)</t>
        </is>
      </c>
      <c r="E5" s="3" t="inlineStr">
        <is>
          <t>Founder hours</t>
        </is>
      </c>
      <c r="F5" s="3" t="inlineStr">
        <is>
          <t>Cash spend ₹</t>
        </is>
      </c>
      <c r="G5" s="3" t="inlineStr">
        <is>
          <t>Travel ₹</t>
        </is>
      </c>
      <c r="H5" s="3" t="inlineStr">
        <is>
          <t>Total cost ₹</t>
        </is>
      </c>
      <c r="I5" s="3" t="inlineStr">
        <is>
          <t>The number counted</t>
        </is>
      </c>
      <c r="J5" s="3" t="inlineStr">
        <is>
          <t>Kill line (written before the start)</t>
        </is>
      </c>
      <c r="K5" s="3" t="inlineStr">
        <is>
          <t>Contacts</t>
        </is>
      </c>
      <c r="L5" s="3" t="inlineStr">
        <is>
          <t>Demos</t>
        </is>
      </c>
      <c r="M5" s="3" t="inlineStr">
        <is>
          <t>Paying dealers</t>
        </is>
      </c>
      <c r="N5" s="3" t="inlineStr">
        <is>
          <t>CAC ₹</t>
        </is>
      </c>
      <c r="O5" s="3" t="inlineStr">
        <is>
          <t>Verdict</t>
        </is>
      </c>
      <c r="P5" s="3" t="inlineStr">
        <is>
          <t>Owner</t>
        </is>
      </c>
      <c r="Q5" s="3" t="inlineStr">
        <is>
          <t>Notes / why</t>
        </is>
      </c>
    </row>
    <row r="6" ht="44" customHeight="1">
      <c r="A6" s="15" t="inlineStr">
        <is>
          <t>CA / tax consultant</t>
        </is>
      </c>
      <c r="B6" s="15" t="inlineStr">
        <is>
          <t>A Raipur CA with pump clients introduces 3+ dealers for a 10% revenue share.</t>
        </is>
      </c>
      <c r="C6" s="19" t="n">
        <v>46266</v>
      </c>
      <c r="D6" s="19" t="n">
        <v>46280</v>
      </c>
      <c r="E6" s="16" t="n">
        <v>6</v>
      </c>
      <c r="F6" s="28" t="n">
        <v>2000</v>
      </c>
      <c r="G6" s="28" t="n">
        <v>800</v>
      </c>
      <c r="H6" s="53">
        <f>IF(COUNT(E6,F6,G6)=0,"",N(F6)+N(E6)*'CAC &amp; Payback'!$B$6+N(G6))</f>
        <v/>
      </c>
      <c r="I6" s="15" t="inlineStr">
        <is>
          <t>Qualified pump meetings booked</t>
        </is>
      </c>
      <c r="J6" s="15" t="inlineStr">
        <is>
          <t>&lt;2 meetings in 14 days → kill</t>
        </is>
      </c>
      <c r="K6" s="16" t="n">
        <v>5</v>
      </c>
      <c r="L6" s="16" t="n">
        <v>2</v>
      </c>
      <c r="M6" s="16" t="n">
        <v>1</v>
      </c>
      <c r="N6" s="53">
        <f>IF(OR(H6="",M6="",M6=0),"—",H6/M6)</f>
        <v/>
      </c>
      <c r="O6" s="15" t="inlineStr">
        <is>
          <t>keep</t>
        </is>
      </c>
      <c r="P6" s="15" t="inlineStr">
        <is>
          <t>Third dir.</t>
        </is>
      </c>
      <c r="Q6" s="15" t="inlineStr">
        <is>
          <t>Five CAs met, two introduced someone. Slow, but the introduction is warm and the accountant is the objection we hear most.</t>
        </is>
      </c>
    </row>
    <row r="7" ht="44" customHeight="1">
      <c r="A7" s="15" t="inlineStr">
        <is>
          <t>Dealer association (district)</t>
        </is>
      </c>
      <c r="B7" s="15" t="inlineStr">
        <is>
          <t>The district association lets us run a 30-minute GST/TCS session at a members' meeting, and 3+ owners ask for a demo.</t>
        </is>
      </c>
      <c r="C7" s="19" t="n">
        <v>46281</v>
      </c>
      <c r="D7" s="19" t="n">
        <v>46295</v>
      </c>
      <c r="E7" s="16" t="n">
        <v>10</v>
      </c>
      <c r="F7" s="28" t="n">
        <v>8000</v>
      </c>
      <c r="G7" s="28" t="n">
        <v>1200</v>
      </c>
      <c r="H7" s="53">
        <f>IF(COUNT(E7,F7,G7)=0,"",N(F7)+N(E7)*'CAC &amp; Payback'!$B$6+N(G7))</f>
        <v/>
      </c>
      <c r="I7" s="15" t="inlineStr">
        <is>
          <t>Demo requests from attendees</t>
        </is>
      </c>
      <c r="J7" s="15" t="inlineStr">
        <is>
          <t>&lt;3 demo requests → kill</t>
        </is>
      </c>
      <c r="K7" s="16" t="n">
        <v>28</v>
      </c>
      <c r="L7" s="16" t="n">
        <v>4</v>
      </c>
      <c r="M7" s="16" t="n">
        <v>1</v>
      </c>
      <c r="N7" s="53">
        <f>IF(OR(H7="",M7="",M7=0),"—",H7/M7)</f>
        <v/>
      </c>
      <c r="O7" s="15" t="inlineStr">
        <is>
          <t>keep</t>
        </is>
      </c>
      <c r="P7" s="15" t="inlineStr">
        <is>
          <t>Domain dir.</t>
        </is>
      </c>
      <c r="Q7" s="15" t="inlineStr">
        <is>
          <t>Office-bearer's name came from the live dealer. One session per quarter, not one per month.</t>
        </is>
      </c>
    </row>
    <row r="8" ht="44" customHeight="1">
      <c r="A8" s="15" t="inlineStr">
        <is>
          <t>WhatsApp community</t>
        </is>
      </c>
      <c r="B8" s="15" t="inlineStr">
        <is>
          <t>Being useful in two existing dealer groups produces 2+ inbound conversations in 14 days.</t>
        </is>
      </c>
      <c r="C8" s="19" t="n">
        <v>46296</v>
      </c>
      <c r="D8" s="19" t="n">
        <v>46310</v>
      </c>
      <c r="E8" s="16" t="n">
        <v>8</v>
      </c>
      <c r="F8" s="28" t="n">
        <v>0</v>
      </c>
      <c r="G8" s="28" t="n">
        <v>0</v>
      </c>
      <c r="H8" s="53">
        <f>IF(COUNT(E8,F8,G8)=0,"",N(F8)+N(E8)*'CAC &amp; Payback'!$B$6+N(G8))</f>
        <v/>
      </c>
      <c r="I8" s="15" t="inlineStr">
        <is>
          <t>Inbound two-way conversations</t>
        </is>
      </c>
      <c r="J8" s="15" t="inlineStr">
        <is>
          <t>&lt;2 conversations → kill</t>
        </is>
      </c>
      <c r="K8" s="16" t="n">
        <v>3</v>
      </c>
      <c r="L8" s="16" t="n">
        <v>1</v>
      </c>
      <c r="M8" s="16" t="n">
        <v>0</v>
      </c>
      <c r="N8" s="53">
        <f>IF(OR(H8="",M8="",M8=0),"—",H8/M8)</f>
        <v/>
      </c>
      <c r="O8" s="15" t="inlineStr">
        <is>
          <t>kill</t>
        </is>
      </c>
      <c r="P8" s="15" t="inlineStr">
        <is>
          <t>Third dir.</t>
        </is>
      </c>
      <c r="Q8" s="15" t="inlineStr">
        <is>
          <t>Killed with a reason: the groups are for rates and complaints, not tools. Revisit only with a dealer vouching in the group.</t>
        </is>
      </c>
    </row>
    <row r="9" ht="44" customHeight="1">
      <c r="A9" s="15" t="inlineStr">
        <is>
          <t>Hardware service engineers</t>
        </is>
      </c>
      <c r="B9" s="15" t="inlineStr">
        <is>
          <t>Pump automation engineers, who visit every pump quarterly, will name 5+ automated pumps for a referral fee.</t>
        </is>
      </c>
      <c r="C9" s="19" t="n">
        <v>46311</v>
      </c>
      <c r="D9" s="19" t="n">
        <v>46325</v>
      </c>
      <c r="E9" s="16" t="n">
        <v>5</v>
      </c>
      <c r="F9" s="28" t="n">
        <v>1500</v>
      </c>
      <c r="G9" s="28" t="n">
        <v>900</v>
      </c>
      <c r="H9" s="53">
        <f>IF(COUNT(E9,F9,G9)=0,"",N(F9)+N(E9)*'CAC &amp; Payback'!$B$6+N(G9))</f>
        <v/>
      </c>
      <c r="I9" s="15" t="inlineStr">
        <is>
          <t>Named, automated pumps handed over</t>
        </is>
      </c>
      <c r="J9" s="15" t="inlineStr">
        <is>
          <t>&lt;5 names in 14 days → kill</t>
        </is>
      </c>
      <c r="K9" s="16" t="n">
        <v>2</v>
      </c>
      <c r="L9" s="16" t="n">
        <v>0</v>
      </c>
      <c r="M9" s="16" t="n">
        <v>0</v>
      </c>
      <c r="N9" s="53">
        <f>IF(OR(H9="",M9="",M9=0),"—",H9/M9)</f>
        <v/>
      </c>
      <c r="O9" s="15" t="inlineStr"/>
      <c r="P9" s="15" t="inlineStr">
        <is>
          <t>Domain dir.</t>
        </is>
      </c>
      <c r="Q9" s="15" t="inlineStr">
        <is>
          <t>Running. Verdict meeting is in the calendar for the end date.</t>
        </is>
      </c>
    </row>
    <row r="10">
      <c r="A10" s="20" t="inlineStr"/>
      <c r="B10" s="20" t="inlineStr"/>
      <c r="C10" s="24" t="inlineStr"/>
      <c r="D10" s="24" t="inlineStr"/>
      <c r="E10" s="21" t="inlineStr"/>
      <c r="F10" s="29" t="inlineStr"/>
      <c r="G10" s="29" t="inlineStr"/>
      <c r="H10" s="52">
        <f>IF(COUNT(E10,F10,G10)=0,"",N(F10)+N(E10)*'CAC &amp; Payback'!$B$6+N(G10))</f>
        <v/>
      </c>
      <c r="I10" s="20" t="inlineStr"/>
      <c r="J10" s="20" t="inlineStr"/>
      <c r="K10" s="21" t="inlineStr"/>
      <c r="L10" s="21" t="inlineStr"/>
      <c r="M10" s="21" t="inlineStr"/>
      <c r="N10" s="52">
        <f>IF(OR(H10="",M10="",M10=0),"—",H10/M10)</f>
        <v/>
      </c>
      <c r="O10" s="20" t="inlineStr"/>
      <c r="P10" s="20" t="inlineStr"/>
      <c r="Q10" s="20" t="inlineStr"/>
    </row>
    <row r="11">
      <c r="A11" s="20" t="inlineStr"/>
      <c r="B11" s="20" t="inlineStr"/>
      <c r="C11" s="24" t="inlineStr"/>
      <c r="D11" s="24" t="inlineStr"/>
      <c r="E11" s="21" t="inlineStr"/>
      <c r="F11" s="29" t="inlineStr"/>
      <c r="G11" s="29" t="inlineStr"/>
      <c r="H11" s="52">
        <f>IF(COUNT(E11,F11,G11)=0,"",N(F11)+N(E11)*'CAC &amp; Payback'!$B$6+N(G11))</f>
        <v/>
      </c>
      <c r="I11" s="20" t="inlineStr"/>
      <c r="J11" s="20" t="inlineStr"/>
      <c r="K11" s="21" t="inlineStr"/>
      <c r="L11" s="21" t="inlineStr"/>
      <c r="M11" s="21" t="inlineStr"/>
      <c r="N11" s="52">
        <f>IF(OR(H11="",M11="",M11=0),"—",H11/M11)</f>
        <v/>
      </c>
      <c r="O11" s="20" t="inlineStr"/>
      <c r="P11" s="20" t="inlineStr"/>
      <c r="Q11" s="20" t="inlineStr"/>
    </row>
    <row r="12">
      <c r="A12" s="20" t="inlineStr"/>
      <c r="B12" s="20" t="inlineStr"/>
      <c r="C12" s="24" t="inlineStr"/>
      <c r="D12" s="24" t="inlineStr"/>
      <c r="E12" s="21" t="inlineStr"/>
      <c r="F12" s="29" t="inlineStr"/>
      <c r="G12" s="29" t="inlineStr"/>
      <c r="H12" s="52">
        <f>IF(COUNT(E12,F12,G12)=0,"",N(F12)+N(E12)*'CAC &amp; Payback'!$B$6+N(G12))</f>
        <v/>
      </c>
      <c r="I12" s="20" t="inlineStr"/>
      <c r="J12" s="20" t="inlineStr"/>
      <c r="K12" s="21" t="inlineStr"/>
      <c r="L12" s="21" t="inlineStr"/>
      <c r="M12" s="21" t="inlineStr"/>
      <c r="N12" s="52">
        <f>IF(OR(H12="",M12="",M12=0),"—",H12/M12)</f>
        <v/>
      </c>
      <c r="O12" s="20" t="inlineStr"/>
      <c r="P12" s="20" t="inlineStr"/>
      <c r="Q12" s="20" t="inlineStr"/>
    </row>
    <row r="13">
      <c r="A13" s="20" t="inlineStr"/>
      <c r="B13" s="20" t="inlineStr"/>
      <c r="C13" s="24" t="inlineStr"/>
      <c r="D13" s="24" t="inlineStr"/>
      <c r="E13" s="21" t="inlineStr"/>
      <c r="F13" s="29" t="inlineStr"/>
      <c r="G13" s="29" t="inlineStr"/>
      <c r="H13" s="52">
        <f>IF(COUNT(E13,F13,G13)=0,"",N(F13)+N(E13)*'CAC &amp; Payback'!$B$6+N(G13))</f>
        <v/>
      </c>
      <c r="I13" s="20" t="inlineStr"/>
      <c r="J13" s="20" t="inlineStr"/>
      <c r="K13" s="21" t="inlineStr"/>
      <c r="L13" s="21" t="inlineStr"/>
      <c r="M13" s="21" t="inlineStr"/>
      <c r="N13" s="52">
        <f>IF(OR(H13="",M13="",M13=0),"—",H13/M13)</f>
        <v/>
      </c>
      <c r="O13" s="20" t="inlineStr"/>
      <c r="P13" s="20" t="inlineStr"/>
      <c r="Q13" s="20" t="inlineStr"/>
    </row>
    <row r="14">
      <c r="A14" s="20" t="inlineStr"/>
      <c r="B14" s="20" t="inlineStr"/>
      <c r="C14" s="24" t="inlineStr"/>
      <c r="D14" s="24" t="inlineStr"/>
      <c r="E14" s="21" t="inlineStr"/>
      <c r="F14" s="29" t="inlineStr"/>
      <c r="G14" s="29" t="inlineStr"/>
      <c r="H14" s="52">
        <f>IF(COUNT(E14,F14,G14)=0,"",N(F14)+N(E14)*'CAC &amp; Payback'!$B$6+N(G14))</f>
        <v/>
      </c>
      <c r="I14" s="20" t="inlineStr"/>
      <c r="J14" s="20" t="inlineStr"/>
      <c r="K14" s="21" t="inlineStr"/>
      <c r="L14" s="21" t="inlineStr"/>
      <c r="M14" s="21" t="inlineStr"/>
      <c r="N14" s="52">
        <f>IF(OR(H14="",M14="",M14=0),"—",H14/M14)</f>
        <v/>
      </c>
      <c r="O14" s="20" t="inlineStr"/>
      <c r="P14" s="20" t="inlineStr"/>
      <c r="Q14" s="20" t="inlineStr"/>
    </row>
    <row r="15">
      <c r="A15" s="20" t="inlineStr"/>
      <c r="B15" s="20" t="inlineStr"/>
      <c r="C15" s="24" t="inlineStr"/>
      <c r="D15" s="24" t="inlineStr"/>
      <c r="E15" s="21" t="inlineStr"/>
      <c r="F15" s="29" t="inlineStr"/>
      <c r="G15" s="29" t="inlineStr"/>
      <c r="H15" s="52">
        <f>IF(COUNT(E15,F15,G15)=0,"",N(F15)+N(E15)*'CAC &amp; Payback'!$B$6+N(G15))</f>
        <v/>
      </c>
      <c r="I15" s="20" t="inlineStr"/>
      <c r="J15" s="20" t="inlineStr"/>
      <c r="K15" s="21" t="inlineStr"/>
      <c r="L15" s="21" t="inlineStr"/>
      <c r="M15" s="21" t="inlineStr"/>
      <c r="N15" s="52">
        <f>IF(OR(H15="",M15="",M15=0),"—",H15/M15)</f>
        <v/>
      </c>
      <c r="O15" s="20" t="inlineStr"/>
      <c r="P15" s="20" t="inlineStr"/>
      <c r="Q15" s="20" t="inlineStr"/>
    </row>
    <row r="16">
      <c r="A16" s="20" t="inlineStr"/>
      <c r="B16" s="20" t="inlineStr"/>
      <c r="C16" s="24" t="inlineStr"/>
      <c r="D16" s="24" t="inlineStr"/>
      <c r="E16" s="21" t="inlineStr"/>
      <c r="F16" s="29" t="inlineStr"/>
      <c r="G16" s="29" t="inlineStr"/>
      <c r="H16" s="52">
        <f>IF(COUNT(E16,F16,G16)=0,"",N(F16)+N(E16)*'CAC &amp; Payback'!$B$6+N(G16))</f>
        <v/>
      </c>
      <c r="I16" s="20" t="inlineStr"/>
      <c r="J16" s="20" t="inlineStr"/>
      <c r="K16" s="21" t="inlineStr"/>
      <c r="L16" s="21" t="inlineStr"/>
      <c r="M16" s="21" t="inlineStr"/>
      <c r="N16" s="52">
        <f>IF(OR(H16="",M16="",M16=0),"—",H16/M16)</f>
        <v/>
      </c>
      <c r="O16" s="20" t="inlineStr"/>
      <c r="P16" s="20" t="inlineStr"/>
      <c r="Q16" s="20" t="inlineStr"/>
    </row>
    <row r="17">
      <c r="A17" s="20" t="inlineStr"/>
      <c r="B17" s="20" t="inlineStr"/>
      <c r="C17" s="24" t="inlineStr"/>
      <c r="D17" s="24" t="inlineStr"/>
      <c r="E17" s="21" t="inlineStr"/>
      <c r="F17" s="29" t="inlineStr"/>
      <c r="G17" s="29" t="inlineStr"/>
      <c r="H17" s="52">
        <f>IF(COUNT(E17,F17,G17)=0,"",N(F17)+N(E17)*'CAC &amp; Payback'!$B$6+N(G17))</f>
        <v/>
      </c>
      <c r="I17" s="20" t="inlineStr"/>
      <c r="J17" s="20" t="inlineStr"/>
      <c r="K17" s="21" t="inlineStr"/>
      <c r="L17" s="21" t="inlineStr"/>
      <c r="M17" s="21" t="inlineStr"/>
      <c r="N17" s="52">
        <f>IF(OR(H17="",M17="",M17=0),"—",H17/M17)</f>
        <v/>
      </c>
      <c r="O17" s="20" t="inlineStr"/>
      <c r="P17" s="20" t="inlineStr"/>
      <c r="Q17" s="20" t="inlineStr"/>
    </row>
    <row r="18">
      <c r="A18" s="20" t="inlineStr"/>
      <c r="B18" s="20" t="inlineStr"/>
      <c r="C18" s="24" t="inlineStr"/>
      <c r="D18" s="24" t="inlineStr"/>
      <c r="E18" s="21" t="inlineStr"/>
      <c r="F18" s="29" t="inlineStr"/>
      <c r="G18" s="29" t="inlineStr"/>
      <c r="H18" s="52">
        <f>IF(COUNT(E18,F18,G18)=0,"",N(F18)+N(E18)*'CAC &amp; Payback'!$B$6+N(G18))</f>
        <v/>
      </c>
      <c r="I18" s="20" t="inlineStr"/>
      <c r="J18" s="20" t="inlineStr"/>
      <c r="K18" s="21" t="inlineStr"/>
      <c r="L18" s="21" t="inlineStr"/>
      <c r="M18" s="21" t="inlineStr"/>
      <c r="N18" s="52">
        <f>IF(OR(H18="",M18="",M18=0),"—",H18/M18)</f>
        <v/>
      </c>
      <c r="O18" s="20" t="inlineStr"/>
      <c r="P18" s="20" t="inlineStr"/>
      <c r="Q18" s="20" t="inlineStr"/>
    </row>
    <row r="19">
      <c r="A19" s="20" t="inlineStr"/>
      <c r="B19" s="20" t="inlineStr"/>
      <c r="C19" s="24" t="inlineStr"/>
      <c r="D19" s="24" t="inlineStr"/>
      <c r="E19" s="21" t="inlineStr"/>
      <c r="F19" s="29" t="inlineStr"/>
      <c r="G19" s="29" t="inlineStr"/>
      <c r="H19" s="52">
        <f>IF(COUNT(E19,F19,G19)=0,"",N(F19)+N(E19)*'CAC &amp; Payback'!$B$6+N(G19))</f>
        <v/>
      </c>
      <c r="I19" s="20" t="inlineStr"/>
      <c r="J19" s="20" t="inlineStr"/>
      <c r="K19" s="21" t="inlineStr"/>
      <c r="L19" s="21" t="inlineStr"/>
      <c r="M19" s="21" t="inlineStr"/>
      <c r="N19" s="52">
        <f>IF(OR(H19="",M19="",M19=0),"—",H19/M19)</f>
        <v/>
      </c>
      <c r="O19" s="20" t="inlineStr"/>
      <c r="P19" s="20" t="inlineStr"/>
      <c r="Q19" s="20" t="inlineStr"/>
    </row>
    <row r="20">
      <c r="A20" s="20" t="inlineStr"/>
      <c r="B20" s="20" t="inlineStr"/>
      <c r="C20" s="24" t="inlineStr"/>
      <c r="D20" s="24" t="inlineStr"/>
      <c r="E20" s="21" t="inlineStr"/>
      <c r="F20" s="29" t="inlineStr"/>
      <c r="G20" s="29" t="inlineStr"/>
      <c r="H20" s="52">
        <f>IF(COUNT(E20,F20,G20)=0,"",N(F20)+N(E20)*'CAC &amp; Payback'!$B$6+N(G20))</f>
        <v/>
      </c>
      <c r="I20" s="20" t="inlineStr"/>
      <c r="J20" s="20" t="inlineStr"/>
      <c r="K20" s="21" t="inlineStr"/>
      <c r="L20" s="21" t="inlineStr"/>
      <c r="M20" s="21" t="inlineStr"/>
      <c r="N20" s="52">
        <f>IF(OR(H20="",M20="",M20=0),"—",H20/M20)</f>
        <v/>
      </c>
      <c r="O20" s="20" t="inlineStr"/>
      <c r="P20" s="20" t="inlineStr"/>
      <c r="Q20" s="20" t="inlineStr"/>
    </row>
    <row r="21">
      <c r="A21" s="20" t="inlineStr"/>
      <c r="B21" s="20" t="inlineStr"/>
      <c r="C21" s="24" t="inlineStr"/>
      <c r="D21" s="24" t="inlineStr"/>
      <c r="E21" s="21" t="inlineStr"/>
      <c r="F21" s="29" t="inlineStr"/>
      <c r="G21" s="29" t="inlineStr"/>
      <c r="H21" s="52">
        <f>IF(COUNT(E21,F21,G21)=0,"",N(F21)+N(E21)*'CAC &amp; Payback'!$B$6+N(G21))</f>
        <v/>
      </c>
      <c r="I21" s="20" t="inlineStr"/>
      <c r="J21" s="20" t="inlineStr"/>
      <c r="K21" s="21" t="inlineStr"/>
      <c r="L21" s="21" t="inlineStr"/>
      <c r="M21" s="21" t="inlineStr"/>
      <c r="N21" s="52">
        <f>IF(OR(H21="",M21="",M21=0),"—",H21/M21)</f>
        <v/>
      </c>
      <c r="O21" s="20" t="inlineStr"/>
      <c r="P21" s="20" t="inlineStr"/>
      <c r="Q21" s="20" t="inlineStr"/>
    </row>
    <row r="22">
      <c r="A22" s="20" t="inlineStr"/>
      <c r="B22" s="20" t="inlineStr"/>
      <c r="C22" s="24" t="inlineStr"/>
      <c r="D22" s="24" t="inlineStr"/>
      <c r="E22" s="21" t="inlineStr"/>
      <c r="F22" s="29" t="inlineStr"/>
      <c r="G22" s="29" t="inlineStr"/>
      <c r="H22" s="52">
        <f>IF(COUNT(E22,F22,G22)=0,"",N(F22)+N(E22)*'CAC &amp; Payback'!$B$6+N(G22))</f>
        <v/>
      </c>
      <c r="I22" s="20" t="inlineStr"/>
      <c r="J22" s="20" t="inlineStr"/>
      <c r="K22" s="21" t="inlineStr"/>
      <c r="L22" s="21" t="inlineStr"/>
      <c r="M22" s="21" t="inlineStr"/>
      <c r="N22" s="52">
        <f>IF(OR(H22="",M22="",M22=0),"—",H22/M22)</f>
        <v/>
      </c>
      <c r="O22" s="20" t="inlineStr"/>
      <c r="P22" s="20" t="inlineStr"/>
      <c r="Q22" s="20" t="inlineStr"/>
    </row>
    <row r="23">
      <c r="A23" s="20" t="inlineStr"/>
      <c r="B23" s="20" t="inlineStr"/>
      <c r="C23" s="24" t="inlineStr"/>
      <c r="D23" s="24" t="inlineStr"/>
      <c r="E23" s="21" t="inlineStr"/>
      <c r="F23" s="29" t="inlineStr"/>
      <c r="G23" s="29" t="inlineStr"/>
      <c r="H23" s="52">
        <f>IF(COUNT(E23,F23,G23)=0,"",N(F23)+N(E23)*'CAC &amp; Payback'!$B$6+N(G23))</f>
        <v/>
      </c>
      <c r="I23" s="20" t="inlineStr"/>
      <c r="J23" s="20" t="inlineStr"/>
      <c r="K23" s="21" t="inlineStr"/>
      <c r="L23" s="21" t="inlineStr"/>
      <c r="M23" s="21" t="inlineStr"/>
      <c r="N23" s="52">
        <f>IF(OR(H23="",M23="",M23=0),"—",H23/M23)</f>
        <v/>
      </c>
      <c r="O23" s="20" t="inlineStr"/>
      <c r="P23" s="20" t="inlineStr"/>
      <c r="Q23" s="20" t="inlineStr"/>
    </row>
    <row r="24">
      <c r="A24" s="20" t="inlineStr"/>
      <c r="B24" s="20" t="inlineStr"/>
      <c r="C24" s="24" t="inlineStr"/>
      <c r="D24" s="24" t="inlineStr"/>
      <c r="E24" s="21" t="inlineStr"/>
      <c r="F24" s="29" t="inlineStr"/>
      <c r="G24" s="29" t="inlineStr"/>
      <c r="H24" s="52">
        <f>IF(COUNT(E24,F24,G24)=0,"",N(F24)+N(E24)*'CAC &amp; Payback'!$B$6+N(G24))</f>
        <v/>
      </c>
      <c r="I24" s="20" t="inlineStr"/>
      <c r="J24" s="20" t="inlineStr"/>
      <c r="K24" s="21" t="inlineStr"/>
      <c r="L24" s="21" t="inlineStr"/>
      <c r="M24" s="21" t="inlineStr"/>
      <c r="N24" s="52">
        <f>IF(OR(H24="",M24="",M24=0),"—",H24/M24)</f>
        <v/>
      </c>
      <c r="O24" s="20" t="inlineStr"/>
      <c r="P24" s="20" t="inlineStr"/>
      <c r="Q24" s="20" t="inlineStr"/>
    </row>
    <row r="25">
      <c r="A25" s="20" t="inlineStr"/>
      <c r="B25" s="20" t="inlineStr"/>
      <c r="C25" s="24" t="inlineStr"/>
      <c r="D25" s="24" t="inlineStr"/>
      <c r="E25" s="21" t="inlineStr"/>
      <c r="F25" s="29" t="inlineStr"/>
      <c r="G25" s="29" t="inlineStr"/>
      <c r="H25" s="52">
        <f>IF(COUNT(E25,F25,G25)=0,"",N(F25)+N(E25)*'CAC &amp; Payback'!$B$6+N(G25))</f>
        <v/>
      </c>
      <c r="I25" s="20" t="inlineStr"/>
      <c r="J25" s="20" t="inlineStr"/>
      <c r="K25" s="21" t="inlineStr"/>
      <c r="L25" s="21" t="inlineStr"/>
      <c r="M25" s="21" t="inlineStr"/>
      <c r="N25" s="52">
        <f>IF(OR(H25="",M25="",M25=0),"—",H25/M25)</f>
        <v/>
      </c>
      <c r="O25" s="20" t="inlineStr"/>
      <c r="P25" s="20" t="inlineStr"/>
      <c r="Q25" s="20" t="inlineStr"/>
    </row>
    <row r="26">
      <c r="A26" s="20" t="inlineStr"/>
      <c r="B26" s="20" t="inlineStr"/>
      <c r="C26" s="24" t="inlineStr"/>
      <c r="D26" s="24" t="inlineStr"/>
      <c r="E26" s="21" t="inlineStr"/>
      <c r="F26" s="29" t="inlineStr"/>
      <c r="G26" s="29" t="inlineStr"/>
      <c r="H26" s="52">
        <f>IF(COUNT(E26,F26,G26)=0,"",N(F26)+N(E26)*'CAC &amp; Payback'!$B$6+N(G26))</f>
        <v/>
      </c>
      <c r="I26" s="20" t="inlineStr"/>
      <c r="J26" s="20" t="inlineStr"/>
      <c r="K26" s="21" t="inlineStr"/>
      <c r="L26" s="21" t="inlineStr"/>
      <c r="M26" s="21" t="inlineStr"/>
      <c r="N26" s="52">
        <f>IF(OR(H26="",M26="",M26=0),"—",H26/M26)</f>
        <v/>
      </c>
      <c r="O26" s="20" t="inlineStr"/>
      <c r="P26" s="20" t="inlineStr"/>
      <c r="Q26" s="20" t="inlineStr"/>
    </row>
    <row r="27">
      <c r="A27" s="20" t="inlineStr"/>
      <c r="B27" s="20" t="inlineStr"/>
      <c r="C27" s="24" t="inlineStr"/>
      <c r="D27" s="24" t="inlineStr"/>
      <c r="E27" s="21" t="inlineStr"/>
      <c r="F27" s="29" t="inlineStr"/>
      <c r="G27" s="29" t="inlineStr"/>
      <c r="H27" s="52">
        <f>IF(COUNT(E27,F27,G27)=0,"",N(F27)+N(E27)*'CAC &amp; Payback'!$B$6+N(G27))</f>
        <v/>
      </c>
      <c r="I27" s="20" t="inlineStr"/>
      <c r="J27" s="20" t="inlineStr"/>
      <c r="K27" s="21" t="inlineStr"/>
      <c r="L27" s="21" t="inlineStr"/>
      <c r="M27" s="21" t="inlineStr"/>
      <c r="N27" s="52">
        <f>IF(OR(H27="",M27="",M27=0),"—",H27/M27)</f>
        <v/>
      </c>
      <c r="O27" s="20" t="inlineStr"/>
      <c r="P27" s="20" t="inlineStr"/>
      <c r="Q27" s="20" t="inlineStr"/>
    </row>
    <row r="28">
      <c r="A28" s="20" t="inlineStr"/>
      <c r="B28" s="20" t="inlineStr"/>
      <c r="C28" s="24" t="inlineStr"/>
      <c r="D28" s="24" t="inlineStr"/>
      <c r="E28" s="21" t="inlineStr"/>
      <c r="F28" s="29" t="inlineStr"/>
      <c r="G28" s="29" t="inlineStr"/>
      <c r="H28" s="52">
        <f>IF(COUNT(E28,F28,G28)=0,"",N(F28)+N(E28)*'CAC &amp; Payback'!$B$6+N(G28))</f>
        <v/>
      </c>
      <c r="I28" s="20" t="inlineStr"/>
      <c r="J28" s="20" t="inlineStr"/>
      <c r="K28" s="21" t="inlineStr"/>
      <c r="L28" s="21" t="inlineStr"/>
      <c r="M28" s="21" t="inlineStr"/>
      <c r="N28" s="52">
        <f>IF(OR(H28="",M28="",M28=0),"—",H28/M28)</f>
        <v/>
      </c>
      <c r="O28" s="20" t="inlineStr"/>
      <c r="P28" s="20" t="inlineStr"/>
      <c r="Q28" s="20" t="inlineStr"/>
    </row>
    <row r="29">
      <c r="A29" s="20" t="inlineStr"/>
      <c r="B29" s="20" t="inlineStr"/>
      <c r="C29" s="24" t="inlineStr"/>
      <c r="D29" s="24" t="inlineStr"/>
      <c r="E29" s="21" t="inlineStr"/>
      <c r="F29" s="29" t="inlineStr"/>
      <c r="G29" s="29" t="inlineStr"/>
      <c r="H29" s="52">
        <f>IF(COUNT(E29,F29,G29)=0,"",N(F29)+N(E29)*'CAC &amp; Payback'!$B$6+N(G29))</f>
        <v/>
      </c>
      <c r="I29" s="20" t="inlineStr"/>
      <c r="J29" s="20" t="inlineStr"/>
      <c r="K29" s="21" t="inlineStr"/>
      <c r="L29" s="21" t="inlineStr"/>
      <c r="M29" s="21" t="inlineStr"/>
      <c r="N29" s="52">
        <f>IF(OR(H29="",M29="",M29=0),"—",H29/M29)</f>
        <v/>
      </c>
      <c r="O29" s="20" t="inlineStr"/>
      <c r="P29" s="20" t="inlineStr"/>
      <c r="Q29" s="20" t="inlineStr"/>
    </row>
    <row r="31">
      <c r="A31" s="13" t="inlineStr">
        <is>
          <t>B. The method — six fields, and the sixth is written last</t>
        </is>
      </c>
      <c r="B31" s="14" t="n"/>
      <c r="C31" s="14" t="n"/>
      <c r="D31" s="14" t="n"/>
      <c r="E31" s="14" t="n"/>
      <c r="F31" s="14" t="n"/>
      <c r="G31" s="14" t="n"/>
      <c r="H31" s="14" t="n"/>
      <c r="I31" s="14" t="n"/>
      <c r="J31" s="14" t="n"/>
      <c r="K31" s="14" t="n"/>
      <c r="L31" s="14" t="n"/>
      <c r="M31" s="14" t="n"/>
      <c r="N31" s="14" t="n"/>
      <c r="O31" s="14" t="n"/>
      <c r="P31" s="14" t="n"/>
      <c r="Q31" s="14" t="n"/>
    </row>
    <row r="32" ht="30" customHeight="1">
      <c r="A32" s="3" t="inlineStr">
        <is>
          <t>Field</t>
        </is>
      </c>
      <c r="B32" s="3" t="inlineStr">
        <is>
          <t>Rule</t>
        </is>
      </c>
      <c r="C32" s="3" t="inlineStr"/>
      <c r="D32" s="3" t="inlineStr"/>
      <c r="E32" s="3" t="inlineStr"/>
      <c r="F32" s="3" t="inlineStr"/>
      <c r="G32" s="3" t="inlineStr"/>
      <c r="H32" s="3" t="inlineStr"/>
      <c r="I32" s="3" t="inlineStr"/>
      <c r="J32" s="3" t="inlineStr"/>
      <c r="K32" s="3" t="inlineStr"/>
      <c r="L32" s="3" t="inlineStr"/>
      <c r="M32" s="3" t="inlineStr"/>
      <c r="N32" s="3" t="inlineStr"/>
      <c r="O32" s="3" t="inlineStr"/>
      <c r="P32" s="3" t="inlineStr"/>
      <c r="Q32" s="3" t="inlineStr"/>
    </row>
    <row r="33">
      <c r="A33" s="15" t="inlineStr">
        <is>
          <t>Channel</t>
        </is>
      </c>
      <c r="B33" s="15" t="inlineStr">
        <is>
          <t>Exactly one. Two at once teach nothing about either.</t>
        </is>
      </c>
      <c r="C33" s="26" t="n"/>
      <c r="D33" s="26" t="n"/>
      <c r="E33" s="26" t="n"/>
      <c r="F33" s="26" t="n"/>
      <c r="G33" s="26" t="n"/>
      <c r="H33" s="26" t="n"/>
      <c r="I33" s="26" t="n"/>
      <c r="J33" s="26" t="n"/>
      <c r="K33" s="26" t="n"/>
      <c r="L33" s="26" t="n"/>
      <c r="M33" s="26" t="n"/>
      <c r="N33" s="26" t="n"/>
      <c r="O33" s="26" t="n"/>
      <c r="P33" s="26" t="n"/>
      <c r="Q33" s="27" t="n"/>
    </row>
    <row r="34">
      <c r="A34" s="15" t="inlineStr">
        <is>
          <t>Hypothesis</t>
        </is>
      </c>
      <c r="B34" s="15" t="inlineStr">
        <is>
          <t>One falsifiable sentence, with a number in it. If it cannot be wrong, it is not a hypothesis.</t>
        </is>
      </c>
      <c r="C34" s="26" t="n"/>
      <c r="D34" s="26" t="n"/>
      <c r="E34" s="26" t="n"/>
      <c r="F34" s="26" t="n"/>
      <c r="G34" s="26" t="n"/>
      <c r="H34" s="26" t="n"/>
      <c r="I34" s="26" t="n"/>
      <c r="J34" s="26" t="n"/>
      <c r="K34" s="26" t="n"/>
      <c r="L34" s="26" t="n"/>
      <c r="M34" s="26" t="n"/>
      <c r="N34" s="26" t="n"/>
      <c r="O34" s="26" t="n"/>
      <c r="P34" s="26" t="n"/>
      <c r="Q34" s="27" t="n"/>
    </row>
    <row r="35">
      <c r="A35" s="15" t="inlineStr">
        <is>
          <t>Effort box</t>
        </is>
      </c>
      <c r="B35" s="15" t="inlineStr">
        <is>
          <t>Hours and rupees, fixed up front. When the box is empty the experiment ends, whatever the result looks like.</t>
        </is>
      </c>
      <c r="C35" s="26" t="n"/>
      <c r="D35" s="26" t="n"/>
      <c r="E35" s="26" t="n"/>
      <c r="F35" s="26" t="n"/>
      <c r="G35" s="26" t="n"/>
      <c r="H35" s="26" t="n"/>
      <c r="I35" s="26" t="n"/>
      <c r="J35" s="26" t="n"/>
      <c r="K35" s="26" t="n"/>
      <c r="L35" s="26" t="n"/>
      <c r="M35" s="26" t="n"/>
      <c r="N35" s="26" t="n"/>
      <c r="O35" s="26" t="n"/>
      <c r="P35" s="26" t="n"/>
      <c r="Q35" s="27" t="n"/>
    </row>
    <row r="36">
      <c r="A36" s="15" t="inlineStr">
        <is>
          <t>The number</t>
        </is>
      </c>
      <c r="B36" s="15" t="inlineStr">
        <is>
          <t>One, and a step you control — meetings booked, names handed over. Never revenue.</t>
        </is>
      </c>
      <c r="C36" s="26" t="n"/>
      <c r="D36" s="26" t="n"/>
      <c r="E36" s="26" t="n"/>
      <c r="F36" s="26" t="n"/>
      <c r="G36" s="26" t="n"/>
      <c r="H36" s="26" t="n"/>
      <c r="I36" s="26" t="n"/>
      <c r="J36" s="26" t="n"/>
      <c r="K36" s="26" t="n"/>
      <c r="L36" s="26" t="n"/>
      <c r="M36" s="26" t="n"/>
      <c r="N36" s="26" t="n"/>
      <c r="O36" s="26" t="n"/>
      <c r="P36" s="26" t="n"/>
      <c r="Q36" s="27" t="n"/>
    </row>
    <row r="37">
      <c r="A37" s="15" t="inlineStr">
        <is>
          <t>Kill line</t>
        </is>
      </c>
      <c r="B37" s="15" t="inlineStr">
        <is>
          <t>Written BEFORE you start. Writing it afterwards is how a dead channel survives six months.</t>
        </is>
      </c>
      <c r="C37" s="26" t="n"/>
      <c r="D37" s="26" t="n"/>
      <c r="E37" s="26" t="n"/>
      <c r="F37" s="26" t="n"/>
      <c r="G37" s="26" t="n"/>
      <c r="H37" s="26" t="n"/>
      <c r="I37" s="26" t="n"/>
      <c r="J37" s="26" t="n"/>
      <c r="K37" s="26" t="n"/>
      <c r="L37" s="26" t="n"/>
      <c r="M37" s="26" t="n"/>
      <c r="N37" s="26" t="n"/>
      <c r="O37" s="26" t="n"/>
      <c r="P37" s="26" t="n"/>
      <c r="Q37" s="27" t="n"/>
    </row>
    <row r="38">
      <c r="A38" s="15" t="inlineStr">
        <is>
          <t>Verdict</t>
        </is>
      </c>
      <c r="B38" s="15" t="inlineStr">
        <is>
          <t>Kill / keep / scale, with one sentence of why. A killed channel with a reason can be revisited; one that quietly stopped cannot.</t>
        </is>
      </c>
      <c r="C38" s="26" t="n"/>
      <c r="D38" s="26" t="n"/>
      <c r="E38" s="26" t="n"/>
      <c r="F38" s="26" t="n"/>
      <c r="G38" s="26" t="n"/>
      <c r="H38" s="26" t="n"/>
      <c r="I38" s="26" t="n"/>
      <c r="J38" s="26" t="n"/>
      <c r="K38" s="26" t="n"/>
      <c r="L38" s="26" t="n"/>
      <c r="M38" s="26" t="n"/>
      <c r="N38" s="26" t="n"/>
      <c r="O38" s="26" t="n"/>
      <c r="P38" s="26" t="n"/>
      <c r="Q38" s="27" t="n"/>
    </row>
    <row r="40">
      <c r="A40" s="13" t="inlineStr">
        <is>
          <t>C. The channel order (HC4) — and what is not open yet</t>
        </is>
      </c>
      <c r="B40" s="14" t="n"/>
      <c r="C40" s="14" t="n"/>
      <c r="D40" s="14" t="n"/>
      <c r="E40" s="14" t="n"/>
      <c r="F40" s="14" t="n"/>
      <c r="G40" s="14" t="n"/>
      <c r="H40" s="14" t="n"/>
      <c r="I40" s="14" t="n"/>
      <c r="J40" s="14" t="n"/>
      <c r="K40" s="14" t="n"/>
      <c r="L40" s="14" t="n"/>
      <c r="M40" s="14" t="n"/>
      <c r="N40" s="14" t="n"/>
      <c r="O40" s="14" t="n"/>
      <c r="P40" s="14" t="n"/>
      <c r="Q40" s="14" t="n"/>
    </row>
    <row r="41" ht="30" customHeight="1">
      <c r="A41" s="3" t="inlineStr">
        <is>
          <t>#</t>
        </is>
      </c>
      <c r="B41" s="3" t="inlineStr">
        <is>
          <t>Channel</t>
        </is>
      </c>
      <c r="C41" s="3" t="inlineStr">
        <is>
          <t>Status today</t>
        </is>
      </c>
      <c r="D41" s="3" t="inlineStr">
        <is>
          <t>Trigger to open it</t>
        </is>
      </c>
      <c r="E41" s="3" t="inlineStr"/>
      <c r="F41" s="3" t="inlineStr"/>
      <c r="G41" s="3" t="inlineStr"/>
      <c r="H41" s="3" t="inlineStr"/>
      <c r="I41" s="3" t="inlineStr"/>
      <c r="J41" s="3" t="inlineStr"/>
      <c r="K41" s="3" t="inlineStr"/>
      <c r="L41" s="3" t="inlineStr"/>
      <c r="M41" s="3" t="inlineStr"/>
      <c r="N41" s="3" t="inlineStr"/>
      <c r="O41" s="3" t="inlineStr"/>
      <c r="P41" s="3" t="inlineStr"/>
      <c r="Q41" s="3" t="inlineStr"/>
    </row>
    <row r="42">
      <c r="A42" s="15" t="n">
        <v>1</v>
      </c>
      <c r="B42" s="15" t="inlineStr">
        <is>
          <t>Referral (Dealer Dost)</t>
        </is>
      </c>
      <c r="C42" s="15" t="inlineStr">
        <is>
          <t>OPEN — channel one, cheapest we have</t>
        </is>
      </c>
      <c r="D42" s="15" t="inlineStr">
        <is>
          <t>Already open. Ask at every activation moment.</t>
        </is>
      </c>
      <c r="E42" s="26" t="n"/>
      <c r="F42" s="26" t="n"/>
      <c r="G42" s="26" t="n"/>
      <c r="H42" s="26" t="n"/>
      <c r="I42" s="26" t="n"/>
      <c r="J42" s="26" t="n"/>
      <c r="K42" s="26" t="n"/>
      <c r="L42" s="26" t="n"/>
      <c r="M42" s="26" t="n"/>
      <c r="N42" s="26" t="n"/>
      <c r="O42" s="26" t="n"/>
      <c r="P42" s="26" t="n"/>
      <c r="Q42" s="27" t="n"/>
    </row>
    <row r="43">
      <c r="A43" s="15" t="n">
        <v>2</v>
      </c>
      <c r="B43" s="15" t="inlineStr">
        <is>
          <t>OMC territory manager / IOCL relationship</t>
        </is>
      </c>
      <c r="C43" s="15" t="inlineStr">
        <is>
          <t>OPEN — live conversation via Amey</t>
        </is>
      </c>
      <c r="D43" s="15" t="inlineStr">
        <is>
          <t>Already open. One meeting a month, with a written next step each time.</t>
        </is>
      </c>
      <c r="E43" s="26" t="n"/>
      <c r="F43" s="26" t="n"/>
      <c r="G43" s="26" t="n"/>
      <c r="H43" s="26" t="n"/>
      <c r="I43" s="26" t="n"/>
      <c r="J43" s="26" t="n"/>
      <c r="K43" s="26" t="n"/>
      <c r="L43" s="26" t="n"/>
      <c r="M43" s="26" t="n"/>
      <c r="N43" s="26" t="n"/>
      <c r="O43" s="26" t="n"/>
      <c r="P43" s="26" t="n"/>
      <c r="Q43" s="27" t="n"/>
    </row>
    <row r="44">
      <c r="A44" s="15" t="n">
        <v>3</v>
      </c>
      <c r="B44" s="15" t="inlineStr">
        <is>
          <t>Dealer association</t>
        </is>
      </c>
      <c r="C44" s="15" t="inlineStr">
        <is>
          <t>OPEN</t>
        </is>
      </c>
      <c r="D44" s="15" t="inlineStr">
        <is>
          <t>Already open. One session a quarter.</t>
        </is>
      </c>
      <c r="E44" s="26" t="n"/>
      <c r="F44" s="26" t="n"/>
      <c r="G44" s="26" t="n"/>
      <c r="H44" s="26" t="n"/>
      <c r="I44" s="26" t="n"/>
      <c r="J44" s="26" t="n"/>
      <c r="K44" s="26" t="n"/>
      <c r="L44" s="26" t="n"/>
      <c r="M44" s="26" t="n"/>
      <c r="N44" s="26" t="n"/>
      <c r="O44" s="26" t="n"/>
      <c r="P44" s="26" t="n"/>
      <c r="Q44" s="27" t="n"/>
    </row>
    <row r="45">
      <c r="A45" s="15" t="n">
        <v>4</v>
      </c>
      <c r="B45" s="15" t="inlineStr">
        <is>
          <t>CA / tax consultant</t>
        </is>
      </c>
      <c r="C45" s="15" t="inlineStr">
        <is>
          <t>OPEN — under test</t>
        </is>
      </c>
      <c r="D45" s="15" t="inlineStr">
        <is>
          <t>Already open. See the experiment rows above.</t>
        </is>
      </c>
      <c r="E45" s="26" t="n"/>
      <c r="F45" s="26" t="n"/>
      <c r="G45" s="26" t="n"/>
      <c r="H45" s="26" t="n"/>
      <c r="I45" s="26" t="n"/>
      <c r="J45" s="26" t="n"/>
      <c r="K45" s="26" t="n"/>
      <c r="L45" s="26" t="n"/>
      <c r="M45" s="26" t="n"/>
      <c r="N45" s="26" t="n"/>
      <c r="O45" s="26" t="n"/>
      <c r="P45" s="26" t="n"/>
      <c r="Q45" s="27" t="n"/>
    </row>
    <row r="46">
      <c r="A46" s="15" t="n">
        <v>5</v>
      </c>
      <c r="B46" s="15" t="inlineStr">
        <is>
          <t>Field visits</t>
        </is>
      </c>
      <c r="C46" s="15" t="inlineStr">
        <is>
          <t>OPEN — the honest floor</t>
        </is>
      </c>
      <c r="D46" s="15" t="inlineStr">
        <is>
          <t>Already open, and the most expensive thing on the sheet. Compare it against referral every month.</t>
        </is>
      </c>
      <c r="E46" s="26" t="n"/>
      <c r="F46" s="26" t="n"/>
      <c r="G46" s="26" t="n"/>
      <c r="H46" s="26" t="n"/>
      <c r="I46" s="26" t="n"/>
      <c r="J46" s="26" t="n"/>
      <c r="K46" s="26" t="n"/>
      <c r="L46" s="26" t="n"/>
      <c r="M46" s="26" t="n"/>
      <c r="N46" s="26" t="n"/>
      <c r="O46" s="26" t="n"/>
      <c r="P46" s="26" t="n"/>
      <c r="Q46" s="27" t="n"/>
    </row>
    <row r="47">
      <c r="A47" s="15" t="n">
        <v>6</v>
      </c>
      <c r="B47" s="15" t="inlineStr">
        <is>
          <t>WhatsApp community</t>
        </is>
      </c>
      <c r="C47" s="15" t="inlineStr">
        <is>
          <t>TESTED — killed with a reason</t>
        </is>
      </c>
      <c r="D47" s="15" t="inlineStr">
        <is>
          <t>A live dealer willing to vouch inside the group.</t>
        </is>
      </c>
      <c r="E47" s="26" t="n"/>
      <c r="F47" s="26" t="n"/>
      <c r="G47" s="26" t="n"/>
      <c r="H47" s="26" t="n"/>
      <c r="I47" s="26" t="n"/>
      <c r="J47" s="26" t="n"/>
      <c r="K47" s="26" t="n"/>
      <c r="L47" s="26" t="n"/>
      <c r="M47" s="26" t="n"/>
      <c r="N47" s="26" t="n"/>
      <c r="O47" s="26" t="n"/>
      <c r="P47" s="26" t="n"/>
      <c r="Q47" s="27" t="n"/>
    </row>
    <row r="48">
      <c r="A48" s="15" t="n">
        <v>7</v>
      </c>
      <c r="B48" s="15" t="inlineStr">
        <is>
          <t>Content / SEO</t>
        </is>
      </c>
      <c r="C48" s="15" t="inlineStr">
        <is>
          <t>NOT YET</t>
        </is>
      </c>
      <c r="D48" s="15" t="inlineStr">
        <is>
          <t>Three real dealer proofs and a landing page that converts a chat. Months, not weeks.</t>
        </is>
      </c>
      <c r="E48" s="26" t="n"/>
      <c r="F48" s="26" t="n"/>
      <c r="G48" s="26" t="n"/>
      <c r="H48" s="26" t="n"/>
      <c r="I48" s="26" t="n"/>
      <c r="J48" s="26" t="n"/>
      <c r="K48" s="26" t="n"/>
      <c r="L48" s="26" t="n"/>
      <c r="M48" s="26" t="n"/>
      <c r="N48" s="26" t="n"/>
      <c r="O48" s="26" t="n"/>
      <c r="P48" s="26" t="n"/>
      <c r="Q48" s="27" t="n"/>
    </row>
    <row r="49">
      <c r="A49" s="15" t="n">
        <v>8</v>
      </c>
      <c r="B49" s="15" t="inlineStr">
        <is>
          <t>Paid ads</t>
        </is>
      </c>
      <c r="C49" s="15" t="inlineStr">
        <is>
          <t>NOT YET — HC4 is explicit</t>
        </is>
      </c>
      <c r="D49" s="15" t="inlineStr">
        <is>
          <t>~50 paying dealers AND a landing page with real proof. CEO decides, in writing.</t>
        </is>
      </c>
      <c r="E49" s="26" t="n"/>
      <c r="F49" s="26" t="n"/>
      <c r="G49" s="26" t="n"/>
      <c r="H49" s="26" t="n"/>
      <c r="I49" s="26" t="n"/>
      <c r="J49" s="26" t="n"/>
      <c r="K49" s="26" t="n"/>
      <c r="L49" s="26" t="n"/>
      <c r="M49" s="26" t="n"/>
      <c r="N49" s="26" t="n"/>
      <c r="O49" s="26" t="n"/>
      <c r="P49" s="26" t="n"/>
      <c r="Q49" s="27" t="n"/>
    </row>
    <row r="50">
      <c r="A50" s="15" t="n">
        <v>9</v>
      </c>
      <c r="B50" s="15" t="inlineStr">
        <is>
          <t>Cold email / LinkedIn</t>
        </is>
      </c>
      <c r="C50" s="15" t="inlineStr">
        <is>
          <t>NOT YET — narrow</t>
        </is>
      </c>
      <c r="D50" s="15" t="inlineStr">
        <is>
          <t>Second-generation owners only. Never the 55-year-old signer.</t>
        </is>
      </c>
      <c r="E50" s="26" t="n"/>
      <c r="F50" s="26" t="n"/>
      <c r="G50" s="26" t="n"/>
      <c r="H50" s="26" t="n"/>
      <c r="I50" s="26" t="n"/>
      <c r="J50" s="26" t="n"/>
      <c r="K50" s="26" t="n"/>
      <c r="L50" s="26" t="n"/>
      <c r="M50" s="26" t="n"/>
      <c r="N50" s="26" t="n"/>
      <c r="O50" s="26" t="n"/>
      <c r="P50" s="26" t="n"/>
      <c r="Q50" s="27" t="n"/>
    </row>
    <row r="52" ht="46" customHeight="1">
      <c r="A52" s="12" t="inlineStr">
        <is>
          <t>Total cost on this tab uses the same imputed founder rate as the CAC &amp; Payback tab (cell B6 there), so a CAC computed here and a CAC computed there are the same number. CAC per channel flows into the CAC &amp; Payback tab and then into scorecard row 8. This tab is the only defence against what kills bootstrapped marketing: six half-channels for six months and no way to say which one worked.</t>
        </is>
      </c>
    </row>
  </sheetData>
  <mergeCells count="16">
    <mergeCell ref="B34:Q34"/>
    <mergeCell ref="B37:Q37"/>
    <mergeCell ref="D48:Q48"/>
    <mergeCell ref="D50:Q50"/>
    <mergeCell ref="D44:Q44"/>
    <mergeCell ref="D45:Q45"/>
    <mergeCell ref="B36:Q36"/>
    <mergeCell ref="D47:Q47"/>
    <mergeCell ref="B35:Q35"/>
    <mergeCell ref="D42:Q42"/>
    <mergeCell ref="A52:Q52"/>
    <mergeCell ref="D43:Q43"/>
    <mergeCell ref="D49:Q49"/>
    <mergeCell ref="B38:Q38"/>
    <mergeCell ref="B33:Q33"/>
    <mergeCell ref="D46:Q46"/>
  </mergeCells>
  <conditionalFormatting sqref="D6:D29">
    <cfRule type="cellIs" priority="1" operator="lessThan" dxfId="1">
      <formula>TODAY()</formula>
    </cfRule>
  </conditionalFormatting>
  <conditionalFormatting sqref="O6:O29">
    <cfRule type="cellIs" priority="2" operator="equal" dxfId="0">
      <formula>"kill"</formula>
    </cfRule>
    <cfRule type="cellIs" priority="3" operator="equal" dxfId="1">
      <formula>"keep"</formula>
    </cfRule>
    <cfRule type="cellIs" priority="4" operator="equal" dxfId="2">
      <formula>"scale"</formula>
    </cfRule>
  </conditionalFormatting>
  <dataValidations count="3">
    <dataValidation sqref="O6:O29" showDropDown="0" showInputMessage="0" showErrorMessage="1" allowBlank="1" errorTitle="Verdict" error="Please pick a value from the dropdown." type="list">
      <formula1>"kill,keep,scale"</formula1>
    </dataValidation>
    <dataValidation sqref="P6:P29" showDropDown="0" showInputMessage="0" showErrorMessage="1" allowBlank="1" errorTitle="Pick from list" error="Please pick a value from the dropdown." type="list">
      <formula1>"CEO,Domain dir.,Third dir."</formula1>
    </dataValidation>
    <dataValidation sqref="A6:A29" showDropDown="0" showInputMessage="0" showErrorMessage="1" allowBlank="1" errorTitle="Pick from list" error="Please pick a value from the dropdown." type="list">
      <formula1>"Referral,OMC TM / IOCL,Dealer association,CA / tax consultant,Field visits,WhatsApp community,Hardware service engineers,Content / SEO,Play Store / App Store,Google Business Profile,Paid ads,Cold email / LinkedIn,Other"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2026-08-27T10:31:46Z</dcterms:created>
  <dcterms:modified xmlns:dcterms="http://purl.org/dc/terms/" xmlns:xsi="http://www.w3.org/2001/XMLSchema-instance" xsi:type="dcterms:W3CDTF">2026-08-27T10:31:46Z</dcterms:modified>
</cp:coreProperties>
</file>